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Sheet11" sheetId="11" r:id="rId14"/>
    <sheet state="visible" name="Sheet12" sheetId="12" r:id="rId15"/>
    <sheet state="visible" name="Sheet13" sheetId="13" r:id="rId16"/>
    <sheet state="visible" name="Sheet15" sheetId="14" r:id="rId17"/>
    <sheet state="visible" name="Sheet16" sheetId="15" r:id="rId18"/>
  </sheets>
  <definedNames/>
  <calcPr/>
</workbook>
</file>

<file path=xl/sharedStrings.xml><?xml version="1.0" encoding="utf-8"?>
<sst xmlns="http://schemas.openxmlformats.org/spreadsheetml/2006/main" count="16064" uniqueCount="6004">
  <si>
    <t>Subject</t>
  </si>
  <si>
    <t>Chapter</t>
  </si>
  <si>
    <t>Question</t>
  </si>
  <si>
    <t>Option A</t>
  </si>
  <si>
    <t>Option B</t>
  </si>
  <si>
    <t>Option C</t>
  </si>
  <si>
    <t>Option D</t>
  </si>
  <si>
    <t>Correct Answer</t>
  </si>
  <si>
    <t>Maths</t>
  </si>
  <si>
    <t>वास्तविक संख्याएँ</t>
  </si>
  <si>
    <t>सबसे छोटी अभाज्य संख्या (Smallest Prime Number) कौन सी है?</t>
  </si>
  <si>
    <t>दो लगातार संख्याओं का HCF (म०स०) क्या होता है?</t>
  </si>
  <si>
    <t>निम्नलिखित में कौन-सी संख्या अपरिमेय (Irrational) है?</t>
  </si>
  <si>
    <t>36​</t>
  </si>
  <si>
    <t>16​</t>
  </si>
  <si>
    <t>3​</t>
  </si>
  <si>
    <t>25​</t>
  </si>
  <si>
    <t>यदि दो संख्याओं का गुणनफल 2166 है और उनका म०स० (HCF) 19 है, तो उनका ल०स० (LCM) क्या होगा?</t>
  </si>
  <si>
    <t>π (पाई) एक संख्या है:</t>
  </si>
  <si>
    <t>परिमेय</t>
  </si>
  <si>
    <t>अपरिमेय</t>
  </si>
  <si>
    <t>पूर्णांक</t>
  </si>
  <si>
    <t>इनमें से कोई नहीं</t>
  </si>
  <si>
    <t>722​ एक संख्या है:</t>
  </si>
  <si>
    <t>प्राकृत</t>
  </si>
  <si>
    <t>सबसे छोटी भाज्य संख्या (Composite Number) और सबसे छोटी अभाज्य संख्या का गुणनफल क्या होगा?</t>
  </si>
  <si>
    <t>यदि a और b दो अभाज्य संख्याएँ हैं, तो उनका HCF क्या होगा?</t>
  </si>
  <si>
    <t>a</t>
  </si>
  <si>
    <t>b</t>
  </si>
  <si>
    <t>ab</t>
  </si>
  <si>
    <t>यदि a और b दो अभाज्य संख्याएँ हैं, तो उनका LCM क्या होगा?</t>
  </si>
  <si>
    <t>a×b</t>
  </si>
  <si>
    <t>a/b</t>
  </si>
  <si>
    <t>96 का अभाज्य गुणनखंड (Prime Factorization) क्या होगा?</t>
  </si>
  <si>
    <t>24×32</t>
  </si>
  <si>
    <t>23×33</t>
  </si>
  <si>
    <t>25×3</t>
  </si>
  <si>
    <t>2×35</t>
  </si>
  <si>
    <t>किसी पूर्णांक m के लिए, सम संख्या (Even Number) का रूप है:</t>
  </si>
  <si>
    <t>m+1</t>
  </si>
  <si>
    <t>2m+1</t>
  </si>
  <si>
    <t>2m</t>
  </si>
  <si>
    <t>2m−1</t>
  </si>
  <si>
    <t>किसी पूर्णांक m के लिए, विषम संख्या (Odd Number) का रूप है:</t>
  </si>
  <si>
    <t>m</t>
  </si>
  <si>
    <t>संख्या 2.131131113... किस प्रकार की संख्या है?</t>
  </si>
  <si>
    <t>निम्नलिखित में से कौन सा भिन्न (Fraction) का दशमलव प्रसार शांत (Terminating) है?</t>
  </si>
  <si>
    <t>70011​</t>
  </si>
  <si>
    <t>210091​</t>
  </si>
  <si>
    <t>23×53×73343​</t>
  </si>
  <si>
    <t>यूक्लिड विभाजन एल्गोरिथ्म (Euclid's Algorithm) दो धनात्मक पूर्णांकों के निम्न में किसे परिकलित करने की तकनीक है?</t>
  </si>
  <si>
    <t>ल०स०</t>
  </si>
  <si>
    <t>म०स०</t>
  </si>
  <si>
    <t>भागफल</t>
  </si>
  <si>
    <t>शेषफल</t>
  </si>
  <si>
    <t>यदि भाग एल्गोरिथ्म a=bq+r में a=72, b=9, तो r का मान क्या होगा?</t>
  </si>
  <si>
    <t>निम्नलिखित में कौन परिमेय संख्या है?</t>
  </si>
  <si>
    <t>22​/2​</t>
  </si>
  <si>
    <t>4+5​</t>
  </si>
  <si>
    <t>6​</t>
  </si>
  <si>
    <t>दो लगातार सम संख्याओं (Consecutive Even Numbers) का HCF क्या होता है?</t>
  </si>
  <si>
    <t>156 के अभाज्य गुणनखंड में 2 का घातांक (Exponent) क्या है?</t>
  </si>
  <si>
    <t>दो परिमेय संख्याओं के बीच कितनी परिमेय संख्याएँ हो सकती हैं?</t>
  </si>
  <si>
    <t>अनंत (Infinite)</t>
  </si>
  <si>
    <t>312513​ का दशमलव प्रसार कैसा होगा?</t>
  </si>
  <si>
    <t>शांत</t>
  </si>
  <si>
    <t>अशांत आवर्ती</t>
  </si>
  <si>
    <t>अशांत अनावर्ती</t>
  </si>
  <si>
    <t>निम्नलिखित में कौन अभाज्य संख्या (Prime Number) है?</t>
  </si>
  <si>
    <t>625 के अभाज्य गुणनखंड में 5 का अधिकतम घातांक क्या है?</t>
  </si>
  <si>
    <t>क्या एक परिमेय और अपरिमेय संख्या का गुणनफल हमेशा अपरिमेय होता है?</t>
  </si>
  <si>
    <t>हाँ</t>
  </si>
  <si>
    <t>नहीं</t>
  </si>
  <si>
    <t>कभी-कभी</t>
  </si>
  <si>
    <t>कहा नहीं जा सकता</t>
  </si>
  <si>
    <t>0.3 (0.3 पर बार) का परिमेय रूप क्या है?</t>
  </si>
  <si>
    <t>103​</t>
  </si>
  <si>
    <t>31​</t>
  </si>
  <si>
    <t>1003​</t>
  </si>
  <si>
    <t>91​</t>
  </si>
  <si>
    <t>1440 में 2 का अधिकतम घात है:</t>
  </si>
  <si>
    <t>156​ का दशमलव प्रसार है:</t>
  </si>
  <si>
    <t>अशांत</t>
  </si>
  <si>
    <t>आवर्ती</t>
  </si>
  <si>
    <t>यदि दो संख्याओं का HCF=25 और LCM=50 है, तो संख्याओं का गुणनफल होगा:</t>
  </si>
  <si>
    <t>8164​​ एक संख्या है:</t>
  </si>
  <si>
    <t>संख्या 0 (शून्य) है:</t>
  </si>
  <si>
    <t>परिमेय संख्या</t>
  </si>
  <si>
    <t>अपरिमेय संख्या</t>
  </si>
  <si>
    <t>प्राकृत संख्या</t>
  </si>
  <si>
    <t>सबसे छोटी पूर्ण संख्या (Smallest Whole Number) कौन सी है?</t>
  </si>
  <si>
    <t>दो क्रमिक विषम संख्याओं (Consecutive Odd Numbers) का HCF क्या होता है?</t>
  </si>
  <si>
    <t>2​1​ किस प्रकार की संख्या है?</t>
  </si>
  <si>
    <t>पूर्ण</t>
  </si>
  <si>
    <t>यदि n एक प्राकृत संख्या है, तो n​ है:</t>
  </si>
  <si>
    <t>हमेशा परिमेय</t>
  </si>
  <si>
    <t>हमेशा अपरिमेय</t>
  </si>
  <si>
    <t>कभी परिमेय कभी अपरिमेय</t>
  </si>
  <si>
    <t>3+3​ और 3−3​ का गुणनफल किस प्रकार की संख्या है?</t>
  </si>
  <si>
    <t>दोनों</t>
  </si>
  <si>
    <t>संख्या रेखा (Number Line) पर प्रत्येक बिंदु क्या प्रदर्शित करता है?</t>
  </si>
  <si>
    <t>एक वास्तविक संख्या</t>
  </si>
  <si>
    <t>एक प्राकृतिक संख्या</t>
  </si>
  <si>
    <t>एक परिमेय संख्या</t>
  </si>
  <si>
    <t>एक अपरिमेय संख्या</t>
  </si>
  <si>
    <t>140 के अभाज्य गुणनखंड क्या हैं?</t>
  </si>
  <si>
    <t>22×5×7</t>
  </si>
  <si>
    <t>22×5×3</t>
  </si>
  <si>
    <t>2×52×7</t>
  </si>
  <si>
    <t>2×5×7</t>
  </si>
  <si>
    <t>4n (जहाँ n प्राकृत संख्या है) क्या कभी शून्य (0) पर समाप्त हो सकता है?</t>
  </si>
  <si>
    <t>पता नहीं</t>
  </si>
  <si>
    <t>12​3​​ कैसी संख्या है?</t>
  </si>
  <si>
    <t>निम्नलिखित में से कौन सह-अभाज्य (Co-prime) युग्म है?</t>
  </si>
  <si>
    <t>(14, 35)</t>
  </si>
  <si>
    <t>(18, 25)</t>
  </si>
  <si>
    <t>(13, 52)</t>
  </si>
  <si>
    <t>(21, 84)</t>
  </si>
  <si>
    <t>5.2372 है:</t>
  </si>
  <si>
    <t>यदि a=bq+r में b=43, q=31, r=32 हो, तो a का मान होगा:</t>
  </si>
  <si>
    <t>817​ का दशमलव प्रसार है:</t>
  </si>
  <si>
    <t>यदि दो संख्याओं का म०स० (HCF) 27 और ल०स० (LCM) 162 है, यदि उनमें से एक संख्या 54 है, तो दूसरी संख्या क्या होगी?</t>
  </si>
  <si>
    <t>सबसे छोटी प्राकृत संख्या कौन सी है?</t>
  </si>
  <si>
    <t>0.7 (0.7 पर बार) का मान है:</t>
  </si>
  <si>
    <t>97​</t>
  </si>
  <si>
    <t>907​</t>
  </si>
  <si>
    <t>107​</t>
  </si>
  <si>
    <t>997​</t>
  </si>
  <si>
    <t>10​×15​ किसके बराबर है?</t>
  </si>
  <si>
    <t>56​</t>
  </si>
  <si>
    <t>65​</t>
  </si>
  <si>
    <t>30​</t>
  </si>
  <si>
    <t>18 और 72 का HCF क्या होगा?</t>
  </si>
  <si>
    <t>निम्नलिखित में कौन विजातीय (अलग) है?</t>
  </si>
  <si>
    <t>4925​​</t>
  </si>
  <si>
    <t>8164​​</t>
  </si>
  <si>
    <t>11​</t>
  </si>
  <si>
    <t>37​</t>
  </si>
  <si>
    <t>निम्नलिखित में से किसका दशमलव प्रसार अशांत (Non-terminating) है?</t>
  </si>
  <si>
    <t>5023​</t>
  </si>
  <si>
    <t>62513​</t>
  </si>
  <si>
    <t>24339​</t>
  </si>
  <si>
    <t>160025​</t>
  </si>
  <si>
    <t>0 और 50 के बीच विषम संख्याओं की संख्या कितनी है?</t>
  </si>
  <si>
    <t>3.242424... है:</t>
  </si>
  <si>
    <t>एक पूर्णांक</t>
  </si>
  <si>
    <t>एक प्राकृत संख्या</t>
  </si>
  <si>
    <t>यदि a=23×3×5 और b=24×5×7 है, तो LCM (a,b) होगा:</t>
  </si>
  <si>
    <t>5​ एक संख्या है:</t>
  </si>
  <si>
    <t>12,15,21 का HCF क्या होगा?</t>
  </si>
  <si>
    <t>यदि किसी संख्या के अभाज्य गुणनखंड में केवल 2n×5m रूप हो, तो वह संख्या होगी:</t>
  </si>
  <si>
    <t>11/15 का दशमलव प्रसार कैसा होगा?</t>
  </si>
  <si>
    <t>यदि 65 और 117 का HCF 65m−117 के रूप में है, तो m का मान है:</t>
  </si>
  <si>
    <t>निम्नलिखित में कौन सा कथन सही है?</t>
  </si>
  <si>
    <t>दो अपरिमेय का गुणनफल हमेशा अपरिमेय होता है</t>
  </si>
  <si>
    <t>एक परिमेय और अपरिमेय का गुणनफल हमेशा अपरिमेय होता है</t>
  </si>
  <si>
    <t>दो परिमेय का जोड़ अपरिमेय होता है</t>
  </si>
  <si>
    <t>वह सबसे बड़ी संख्या जिससे 31 और 99 को विभाजित करने पर शेषफल क्रमशः 5 और 8 बचे:</t>
  </si>
  <si>
    <t>यूक्लिड विभाजन izesf;dk के अनुसार, a=bq+r में शेषफल r के लिए कौन सा संबंध सत्य है?</t>
  </si>
  <si>
    <t>0&gt;r&gt;b</t>
  </si>
  <si>
    <t>0≤r&lt;b</t>
  </si>
  <si>
    <t>0&lt;r≤b</t>
  </si>
  <si>
    <t>r&gt;b</t>
  </si>
  <si>
    <t>यदि n एक विषम पूर्णांक है, तो n2−1 किससे विभाज्य होगा?</t>
  </si>
  <si>
    <t>धनात्मक विषम पूर्णांक किस रूप का होता है (जहाँ q एक पूर्णांक है)?</t>
  </si>
  <si>
    <t>2q</t>
  </si>
  <si>
    <t>3q</t>
  </si>
  <si>
    <t>2q+1</t>
  </si>
  <si>
    <t>4q+2</t>
  </si>
  <si>
    <t>किसी धनात्मक पूर्णांक q के लिए, प्रत्येक धनात्मक सम पूर्णांक का रूप होता है:</t>
  </si>
  <si>
    <t>q</t>
  </si>
  <si>
    <t>q+1</t>
  </si>
  <si>
    <t>6x4y तथा 12xy का महत्तम समापवर्तक (HCF) क्या होगा?</t>
  </si>
  <si>
    <t>6x2y</t>
  </si>
  <si>
    <t>6xy</t>
  </si>
  <si>
    <t>6y</t>
  </si>
  <si>
    <t>6x</t>
  </si>
  <si>
    <t>यदि दो संख्याओं का HCF = 15 और LCM = 90 है, तो संख्याओं का गुणनफल होगा:</t>
  </si>
  <si>
    <t>क्या 4n (जहाँ n प्राकृत संख्या है) का अंतिम अंक शून्य (0) हो सकता है?</t>
  </si>
  <si>
    <t>केवल यदि n सम हो</t>
  </si>
  <si>
    <t>संख्या 0.121121112... किस प्रकार की संख्या है?</t>
  </si>
  <si>
    <t>यदि p और q दो अभाज्य संख्याएँ हैं, तो p​+q​ क्या होगा?</t>
  </si>
  <si>
    <t>सबसे छोटी संयुक्त (Composite) संख्या कौन सी है?</t>
  </si>
  <si>
    <t>1/3 किस प्रकार की संख्या है?</t>
  </si>
  <si>
    <t>π/2 किस प्रकार की संख्या है?</t>
  </si>
  <si>
    <t>भिन्न</t>
  </si>
  <si>
    <t>सह-अभाज्य (Co-prime) संख्याओं का गुणनफल हमेशा क्या होता है?</t>
  </si>
  <si>
    <t>उनका HCF</t>
  </si>
  <si>
    <t>उनका LCM</t>
  </si>
  <si>
    <t>यदि किसी भिन्न p/q में q का अभाज्य गुणनखंड 2n5m के रूप में नहीं है, तो दशमलव प्रसार कैसा होगा?</t>
  </si>
  <si>
    <t>1 से 100 तक कुल कितनी अभाज्य संख्याएँ होती हैं?</t>
  </si>
  <si>
    <t>यदि HCF(a,b)=1 है, तो a और b कहलाती हैं:</t>
  </si>
  <si>
    <t>भाज्य संख्याएँ</t>
  </si>
  <si>
    <t>सम संख्याएँ</t>
  </si>
  <si>
    <t>सह-अभाज्य संख्याएँ</t>
  </si>
  <si>
    <t>जुड़वा अभाज्य</t>
  </si>
  <si>
    <t>दो अपरिमेय संख्याओं का जोड़ कभी-कभी क्या हो सकता है?</t>
  </si>
  <si>
    <t>केवल अपरिमेय</t>
  </si>
  <si>
    <t>हमेशा पूर्णांक</t>
  </si>
  <si>
    <t>हमेशा प्राकृत</t>
  </si>
  <si>
    <t>यूक्लिड विभाजन एल्गोरिथ्म का प्रयोग मुख्य रूप से क्या ज्ञात करने के लिए किया जाता है?</t>
  </si>
  <si>
    <t>LCM</t>
  </si>
  <si>
    <t>HCF</t>
  </si>
  <si>
    <t>किसी पूर्णांक का वर्ग किस रूप में हो सकता है?</t>
  </si>
  <si>
    <t>3m या 3m+1</t>
  </si>
  <si>
    <t>3m+2</t>
  </si>
  <si>
    <t>3m+5</t>
  </si>
  <si>
    <t>3m+3</t>
  </si>
  <si>
    <t>किसी धनात्मक पूर्णांक का घन (Cube) किस रूप का होता है?</t>
  </si>
  <si>
    <t>9m</t>
  </si>
  <si>
    <t>9m+1</t>
  </si>
  <si>
    <t>9m+8</t>
  </si>
  <si>
    <t>ये सभी</t>
  </si>
  <si>
    <t>अंकगणित की आधारभूत प्रमेय (Fundamental Theorem of Arithmetic) के अनुसार, प्रत्येक भाज्य संख्या को किस रूप में व्यक्त किया जा सकता है?</t>
  </si>
  <si>
    <t>विषम संख्याओं के गुणनफल</t>
  </si>
  <si>
    <t>अभाज्य संख्याओं के गुणनफल</t>
  </si>
  <si>
    <t>सम संख्याओं के गुणनफल</t>
  </si>
  <si>
    <t>यदि LCM(26,91)=182 है, तो HCF(26,91) का मान क्या होगा?</t>
  </si>
  <si>
    <t>वृत्ताकार पथ पर तीन धावक एक साथ दौड़ना शुरू करते हैं, वे पुनः कब मिलेंगे, यह निकालने के लिए क्या ज्ञात करेंगे?</t>
  </si>
  <si>
    <t>औसत</t>
  </si>
  <si>
    <t>माध्यिका</t>
  </si>
  <si>
    <t>संख्या 3.27 (जिसमें 27 पर बार/रेकरिंग है) एक है:</t>
  </si>
  <si>
    <t>12​ का परिमेयकरण गुणांक (Rationalizing factor) क्या है?</t>
  </si>
  <si>
    <t>2​</t>
  </si>
  <si>
    <t>12​</t>
  </si>
  <si>
    <t>23​</t>
  </si>
  <si>
    <t>सबसे छोटी विषम अभाज्य संख्या कौन सी है?</t>
  </si>
  <si>
    <t>xn+1 का एक गुणक (x+1) है, तो n निश्चित रूप से क्या है?</t>
  </si>
  <si>
    <t>एक विषम पूर्णांक</t>
  </si>
  <si>
    <t>एक सम पूर्णांक</t>
  </si>
  <si>
    <t>एक ऋणात्मक पूर्णांक</t>
  </si>
  <si>
    <t>एक धनात्मक पूर्णांक</t>
  </si>
  <si>
    <t>संख्या रेखा (Number Line) पर 2​ को स्थित किया जा सकता है?</t>
  </si>
  <si>
    <t>काल्पनिक रूप से</t>
  </si>
  <si>
    <t>यदि a और b सह-अभाज्य हैं, तो a2 और b2 होंगे:</t>
  </si>
  <si>
    <t>सम</t>
  </si>
  <si>
    <t>विषम</t>
  </si>
  <si>
    <t>सह-अभाज्य</t>
  </si>
  <si>
    <t>भाज्य</t>
  </si>
  <si>
    <t>11/15 का दशमलव प्रसार कैसा होगा? (क्योंकि हर में 3 आ रहा है)</t>
  </si>
  <si>
    <t>दो संख्याओं का ल०स० (LCM) उनके म०स० (HCF) का 14 गुना है, यदि HCF=10 है तो LCM होगा:</t>
  </si>
  <si>
    <t>संख्या 25 और 50 के HCF और LCM का गुणनफल क्या होगा?</t>
  </si>
  <si>
    <t>निम्न में से कौन सा p/q रूप में 0.6 के बराबर है?</t>
  </si>
  <si>
    <t>यदि दो संख्याओं का गुणनफल 8670 है और HCF 17 है, तो LCM क्या होगा?</t>
  </si>
  <si>
    <t>80×20 का मान क्या होगा?</t>
  </si>
  <si>
    <t>यदि q एक अभाज्य संख्या है, तो q​ हमेशा होगी:</t>
  </si>
  <si>
    <t>7×11×13+13 किस प्रकार की संख्या है?</t>
  </si>
  <si>
    <t>अभाज्य</t>
  </si>
  <si>
    <t>1 से 50 तक कुल कितनी अभाज्य संख्याएँ होती हैं?</t>
  </si>
  <si>
    <t>यदि p एक धनात्मक पूर्णांक है, तो धनात्मक सम पूर्णांक का रूप होगा:</t>
  </si>
  <si>
    <t>2p</t>
  </si>
  <si>
    <t>2p+1</t>
  </si>
  <si>
    <t>p</t>
  </si>
  <si>
    <t>p+1</t>
  </si>
  <si>
    <t>दो लगातार संख्याओं का LCM क्या होता है?</t>
  </si>
  <si>
    <t>उनका योग</t>
  </si>
  <si>
    <t>उनका अंतर</t>
  </si>
  <si>
    <t>उनका गुणनफल</t>
  </si>
  <si>
    <t>उनका भागफल</t>
  </si>
  <si>
    <t>संख्या 23.43 पर बार (Bar) को p/q के रूप में प्रकट करने पर क्या प्राप्त होगा?</t>
  </si>
  <si>
    <t>2320/99</t>
  </si>
  <si>
    <t>2343/100</t>
  </si>
  <si>
    <t>2343/99</t>
  </si>
  <si>
    <t>2320/90</t>
  </si>
  <si>
    <t>यदि n एक प्राकृत संख्या है, तो 6n−5n का अंतिम अंक (Unit Digit) क्या होगा?</t>
  </si>
  <si>
    <t>वृत्ताकार मैदान का एक चक्कर लगाने में सोनिया को 18 मिनट और रवि को 12 मिनट लगते हैं, वे दोनों पुनः प्रारंभिक स्थान पर कितने समय बाद मिलेंगे?</t>
  </si>
  <si>
    <t>18 मिनट</t>
  </si>
  <si>
    <t>12 मिनट</t>
  </si>
  <si>
    <t>36 मिनट</t>
  </si>
  <si>
    <t>6 मिनट</t>
  </si>
  <si>
    <t>यदि x एक परिमेय संख्या है और y एक अपरिमेय संख्या है, तो x+y क्या होगी?</t>
  </si>
  <si>
    <t>5005 के कितने अभाज्य गुणनखंड हैं?</t>
  </si>
  <si>
    <t>यदि p एक अभाज्य संख्या है, तो p​ किस प्रकार की संख्या है?</t>
  </si>
  <si>
    <t>संख्या 24×5343​ का दशमलव प्रसार कितने स्थानों के बाद शांत (Terminate) होगा?</t>
  </si>
  <si>
    <t>यदि HCF(a,b)=a है, तो LCM(a,b) क्या होगा?</t>
  </si>
  <si>
    <t>1 से 10 तक की सभी संख्याओं (दोनों सम्मिलित) से विभाज्य सबसे छोटी संख्या है:</t>
  </si>
  <si>
    <t>यदि 6370=2m⋅5n⋅7k⋅13p है, तो m+n+k+p का मान क्या है?</t>
  </si>
  <si>
    <t>यूक्लिड विभाजन प्रमेयिका a=bq+r में, यदि b=4 है, तो r के संभावित मान क्या होंगे?</t>
  </si>
  <si>
    <t>0, 1, 2, 3</t>
  </si>
  <si>
    <t>1, 2, 3, 4</t>
  </si>
  <si>
    <t>0, 1, 2, 3, 4</t>
  </si>
  <si>
    <t>किसी धनात्मक पूर्णांक q के लिए, धनात्मक विषम पूर्णांक का रूप नहीं हो सकता:</t>
  </si>
  <si>
    <t>6q+1</t>
  </si>
  <si>
    <t>6q+2</t>
  </si>
  <si>
    <t>6q+3</t>
  </si>
  <si>
    <t>6q+5</t>
  </si>
  <si>
    <t>n2−1, 8 से विभाज्य है, यदि n एक:</t>
  </si>
  <si>
    <t>पूर्णांक है</t>
  </si>
  <si>
    <t>प्राकृत संख्या है</t>
  </si>
  <si>
    <t>विषम पूर्णांक है</t>
  </si>
  <si>
    <t>सम पूर्णांक है</t>
  </si>
  <si>
    <t>यदि xn+1 का एक गुणक (x+1) है, तो n निश्चित रूप से है:</t>
  </si>
  <si>
    <t>एक भिन्न</t>
  </si>
  <si>
    <t>वह बड़ी से बड़ी संख्या जिससे 70 और 125 को भाग देने पर शेषफल क्रमशः 5 और 8 प्राप्त हों:</t>
  </si>
  <si>
    <t>यदि दो संख्याओं का अनुपात 15:11 है और उनका HCF 13 है, तो वे संख्याएँ क्या हैं?</t>
  </si>
  <si>
    <t>195, 143</t>
  </si>
  <si>
    <t>190, 140</t>
  </si>
  <si>
    <t>185, 165</t>
  </si>
  <si>
    <t>150, 110</t>
  </si>
  <si>
    <t>यदि p1​ और p2​ दो विषम अभाज्य संख्याएँ हैं (p1​&gt;p2​), तो p12​−p22​ क्या होगा?</t>
  </si>
  <si>
    <t>एक विषम संख्या</t>
  </si>
  <si>
    <t>एक सम संख्या</t>
  </si>
  <si>
    <t>एक अभाज्य संख्या</t>
  </si>
  <si>
    <t>एक विषम भिन्न</t>
  </si>
  <si>
    <t>निम्नलिखित में से कौन 11/25 का दशमलव रूप है?</t>
  </si>
  <si>
    <t>यदि दो धनात्मक पूर्णांक a और b को a=x3y2 और b=xy3 के रूप में लिखा जाए (जहाँ x,y अभाज्य हैं), तो HCF(a,b) है:</t>
  </si>
  <si>
    <t>xy</t>
  </si>
  <si>
    <t>xy2</t>
  </si>
  <si>
    <t>x3y3</t>
  </si>
  <si>
    <t>x2y2</t>
  </si>
  <si>
    <t>उपरोक्त प्रश्न में LCM(a,b) क्या होगा?</t>
  </si>
  <si>
    <t>3.27 है:</t>
  </si>
  <si>
    <t>किसी परेड में 616 सदस्यों वाली सेना की टुकड़ी को 32 सदस्यों वाले बैंड के पीछे मार्च करना है, स्तंभों की अधिकतम संख्या क्या है?</t>
  </si>
  <si>
    <t>गणितज्ञों का राजकुमार (Prince of Mathematicians) किसे कहा जाता है? (जिन्होंने अंकगणित की आधारभूत प्रमेय दी)</t>
  </si>
  <si>
    <t>यूक्लिड</t>
  </si>
  <si>
    <t>कार्ल फ्रेडरिक गॉस</t>
  </si>
  <si>
    <t>आर्यभट्ट</t>
  </si>
  <si>
    <t>पाइथागोरस</t>
  </si>
  <si>
    <t>परिमेय संख्या 14587/1250 का दशमलव प्रसार कैसा है?</t>
  </si>
  <si>
    <t>यदि a और b सह-अभाज्य (Co-prime) हैं, तो उनका LCM(a,b) क्या है?</t>
  </si>
  <si>
    <t>a+b</t>
  </si>
  <si>
    <t>(2+3​)(2−3​) किस प्रकार की संख्या है?</t>
  </si>
  <si>
    <t>काल्पनिक</t>
  </si>
  <si>
    <t>दो संख्याओं का योग 100 है और उनका अंतर 50 है, तो उनका HCF ज्ञात करें।</t>
  </si>
  <si>
    <t>संख्या 4,8,12 का चतुर्थानुपाती (Fourth Proportional) क्या होगा यदि वे HCF और LCM के संबंध में हों? (Logical)</t>
  </si>
  <si>
    <t>निम्न में से कौन सी संख्या पूर्ण वर्ग (Perfect Square) भी है और पूर्ण घन (Perfect Cube) भी?</t>
  </si>
  <si>
    <t>100 और 200 के बीच कितनी संख्याएँ 9 और 6 दोनों से विभाज्य हैं?</t>
  </si>
  <si>
    <t>किसी संख्या को p/q रूप में लिखने पर q के अभाज्य गुणनखंड 2m×5n के रूप में हों, तो वह संख्या होगी:</t>
  </si>
  <si>
    <t>शांत दशमलव</t>
  </si>
  <si>
    <t>5, 15 और 20 के ल०स० और म०स० का अनुपात क्या होगा?</t>
  </si>
  <si>
    <t>9:1</t>
  </si>
  <si>
    <t>4:3</t>
  </si>
  <si>
    <t>11:1</t>
  </si>
  <si>
    <t>12:1</t>
  </si>
  <si>
    <t>यदि N एक प्राकृत संख्या है, तो N​ हमेशा प्राकृत संख्या होगी - यह कथन है:</t>
  </si>
  <si>
    <t>सत्य</t>
  </si>
  <si>
    <t>असत्य</t>
  </si>
  <si>
    <t>कभी सत्य कभी असत्य</t>
  </si>
  <si>
    <t>अस्पष्ट</t>
  </si>
  <si>
    <t>सबसे छोटी विषम संयुक्त (Composite) संख्या कौन सी है?</t>
  </si>
  <si>
    <t>क्या दो अपरिमेय संख्याओं का गुणनफल परिमेय हो सकता है?</t>
  </si>
  <si>
    <t>कभी नहीं</t>
  </si>
  <si>
    <t>हमेशा</t>
  </si>
  <si>
    <t>हाँ, कभी-कभी</t>
  </si>
  <si>
    <t>केवल समान संख्याओं के लिए</t>
  </si>
  <si>
    <t>एक अभाज्य संख्या के कुल कितने गुणनखंड (Factors) होते हैं?</t>
  </si>
  <si>
    <t>यदि HCF(26,169)=13, तो LCM(26,169) होगा:</t>
  </si>
  <si>
    <t>320 मीटर, 400 मीटर और 480 मीटर की लंबाई वाली तीन रस्सियों को मापने के लिए सबसे बड़ी संभव लंबाई क्या होगी?</t>
  </si>
  <si>
    <t>20 मी</t>
  </si>
  <si>
    <t>40 मी</t>
  </si>
  <si>
    <t>60 मी</t>
  </si>
  <si>
    <t>80 मी</t>
  </si>
  <si>
    <t>निम्नलिखित में से कौन 13/99 के बराबर है?</t>
  </si>
  <si>
    <t>0.1333...</t>
  </si>
  <si>
    <t>12,21,15 का ल०स० (LCM) क्या होगा?</t>
  </si>
  <si>
    <t>Mathematics</t>
  </si>
  <si>
    <t>बहुपद</t>
  </si>
  <si>
    <t>रैखिक बहुपद के शून्यकों की संख्या कितनी होती है?</t>
  </si>
  <si>
    <t>बहुपद 6x2−11x+3 के शून्यकों का योग क्या होगा?</t>
  </si>
  <si>
    <t>-11/6</t>
  </si>
  <si>
    <t>-1/2</t>
  </si>
  <si>
    <t>यदि P(x)=x2−3x+5 के शून्यक α,β हों, तो 4(α+β) का मान क्या है?</t>
  </si>
  <si>
    <t>बहुपद x2−4x+1 के मूलों का गुणनफल क्या होगा?</t>
  </si>
  <si>
    <t>निम्न में से कौन बहुपद नहीं है?</t>
  </si>
  <si>
    <t>2/3x+1</t>
  </si>
  <si>
    <t>2−x2+3​x</t>
  </si>
  <si>
    <t>1/(x−1)</t>
  </si>
  <si>
    <t>x3</t>
  </si>
  <si>
    <t>घात 1 वाला बहुपद क्या कहलाता है?</t>
  </si>
  <si>
    <t>द्विघात बहुपद</t>
  </si>
  <si>
    <t>त्रिघात बहुपद</t>
  </si>
  <si>
    <t>रैखिक बहुपद</t>
  </si>
  <si>
    <t>त्रिघात बहुपद का सबसे व्यापक रूप कौन सा है?</t>
  </si>
  <si>
    <t>ax2+bx+c</t>
  </si>
  <si>
    <t>ax4+bx3+c</t>
  </si>
  <si>
    <t>ax3+bx2+cx+d</t>
  </si>
  <si>
    <t>ax2+bx2+c</t>
  </si>
  <si>
    <t>किसी बहुपद की घात क्या होती है?</t>
  </si>
  <si>
    <t>चर की न्यूनतम घात</t>
  </si>
  <si>
    <t>चर की अधिकतम घात</t>
  </si>
  <si>
    <t>चरों का योग</t>
  </si>
  <si>
    <t>एक द्विघात बहुपद का आलेख (Graph) कैसा होता है?</t>
  </si>
  <si>
    <t>सरल रेखा</t>
  </si>
  <si>
    <t>परवलय (Parabola)</t>
  </si>
  <si>
    <t>वृत्त</t>
  </si>
  <si>
    <t>दीर्धवृत्त</t>
  </si>
  <si>
    <t>यदि α,β द्विघात बहुपद f(x)=x2−3x+5 के मूल हों, तो 1/α+1/β का मान होगा?</t>
  </si>
  <si>
    <t>-3/5</t>
  </si>
  <si>
    <t>-5/3</t>
  </si>
  <si>
    <t>द्विघात बहुपद x2+3x+2 के शून्यक क्या हैं?</t>
  </si>
  <si>
    <t>(2, 1)</t>
  </si>
  <si>
    <t>(-2, -1)</t>
  </si>
  <si>
    <t>(2, -1)</t>
  </si>
  <si>
    <t>(-2, 1)</t>
  </si>
  <si>
    <t>यदि p(x)=x2−2x+5 के शून्यक α,β हों, तो α.β का मान होगा?</t>
  </si>
  <si>
    <t>बहुपद y3−2y2−3​y+1/2 का घात है?</t>
  </si>
  <si>
    <t>एक रैखिक बहुपद का आलेख कैसा होता है?</t>
  </si>
  <si>
    <t>परवलय</t>
  </si>
  <si>
    <t>वक्र</t>
  </si>
  <si>
    <t>x2−3 के शून्यक क्या हैं?</t>
  </si>
  <si>
    <t>3,−3</t>
  </si>
  <si>
    <t>3​,−3​</t>
  </si>
  <si>
    <t>3,3​</t>
  </si>
  <si>
    <t>3,3</t>
  </si>
  <si>
    <t>निम्न में से कौन बहुपद है?</t>
  </si>
  <si>
    <t>x+1/x</t>
  </si>
  <si>
    <t>x​+2</t>
  </si>
  <si>
    <t>x2+2​x</t>
  </si>
  <si>
    <t>x−2+3</t>
  </si>
  <si>
    <t>यदि किसी द्विघात बहुपद के शून्यकों का योग -3 और गुणनफल 2 हो, तो वह बहुपद क्या होगा?</t>
  </si>
  <si>
    <t>x2+3x+2</t>
  </si>
  <si>
    <t>x2−3x+2</t>
  </si>
  <si>
    <t>x2+2x−3</t>
  </si>
  <si>
    <t>x2−2x−3</t>
  </si>
  <si>
    <t>यदि P(x)=x2−3x−4, तो P(x) का एक शून्यक है:</t>
  </si>
  <si>
    <t>यदि बहुपद का आलेख x-अक्ष को 3 बार काटता है, तो शून्यकों की संख्या कितनी होगी?</t>
  </si>
  <si>
    <t>द्विघात बहुपद के अधिकतम शून्यकों की संख्या कितनी होती है?</t>
  </si>
  <si>
    <t>अनंत</t>
  </si>
  <si>
    <t>x2−11 के शून्यक हैं:</t>
  </si>
  <si>
    <t>11,−11</t>
  </si>
  <si>
    <t>11​,−11</t>
  </si>
  <si>
    <t>11​,−11​</t>
  </si>
  <si>
    <t>11​,11​</t>
  </si>
  <si>
    <t>y2(1/y+3) का मान क्या है? [Basic Algebra]</t>
  </si>
  <si>
    <t>y+3y2</t>
  </si>
  <si>
    <t>y+3</t>
  </si>
  <si>
    <t>y2+3y</t>
  </si>
  <si>
    <t>3y2</t>
  </si>
  <si>
    <t>यदि बहुपद g(x)=3x2−7x+2 हो, तो g(−1) का मान है:</t>
  </si>
  <si>
    <t>बहुपद x2−kx+8 के शून्यकों का योग 6 है, तो k का मान क्या है?</t>
  </si>
  <si>
    <t>बहुपद 4x2−4x+1 के मूलों का गुणनफल होगा:</t>
  </si>
  <si>
    <t>यदि बहुपद x2+ax−b के शून्यक एक-दूसरे के व्युत्क्रम हों, तो b का मान होगा: [Concept: αβ=1]</t>
  </si>
  <si>
    <t>1/a</t>
  </si>
  <si>
    <t>निम्नलिखित में कौन एक द्विघात बहुपद है जिसके शून्यक 5 और -3 हैं?</t>
  </si>
  <si>
    <t>x2−2x−15</t>
  </si>
  <si>
    <t>x2−2x+15</t>
  </si>
  <si>
    <t>x2+2x−15</t>
  </si>
  <si>
    <t>x2+2x+15</t>
  </si>
  <si>
    <t>यदि बहुपद P(x) का एक गुणनखंड (x+1) हो, तो बहुपद P(x) का एक शून्यक होगा:</t>
  </si>
  <si>
    <t>बहुपद 5y2−14y+8 के शून्यकों का योग होगा:</t>
  </si>
  <si>
    <t>-14/5</t>
  </si>
  <si>
    <t>x2+2x+1 के शून्यक हैं: [Basic Quadratic]</t>
  </si>
  <si>
    <t>-1, -1</t>
  </si>
  <si>
    <t>-2, -1</t>
  </si>
  <si>
    <t>बहुपद 2−x(x−1) के शून्यकों का गुणनफल है: [Simplify: −x2+x+2]</t>
  </si>
  <si>
    <t>x2−2x−3 के शून्यक कौन से हैं?</t>
  </si>
  <si>
    <t>3, -1</t>
  </si>
  <si>
    <t>-3, 1</t>
  </si>
  <si>
    <t>-3, -1</t>
  </si>
  <si>
    <t>एक त्रिघात बहुपद के शून्यकों की अधिकतम संख्या है:</t>
  </si>
  <si>
    <t>यदि α,β,γ त्रिघात बहुपद ax3+bx2+cx+d के शून्यक हों, तो αβγ का मान होगा:</t>
  </si>
  <si>
    <t>-b/a</t>
  </si>
  <si>
    <t>c/a</t>
  </si>
  <si>
    <t>-d/a</t>
  </si>
  <si>
    <t>d/a</t>
  </si>
  <si>
    <t>बहुपद y3−3y2+y+1 के शून्यकों का योग (α+β+γ) होगा:</t>
  </si>
  <si>
    <t>भाग एल्गोरिथ्म से, यदि P(x)=g(x)×q(x)+r(x), जहाँ r(x)=0, तो r(x) की घात:</t>
  </si>
  <si>
    <t>g(x) की घात से कम होगी</t>
  </si>
  <si>
    <t>g(x) की घात से ज्यादा होगी</t>
  </si>
  <si>
    <t>q(x) की घात के बराबर होगी</t>
  </si>
  <si>
    <t>यदि x−a, f(x) का एक गुणनखंड है, तो f(a) का मान क्या होगा?</t>
  </si>
  <si>
    <t>x4−3x2+2 की घात है:</t>
  </si>
  <si>
    <t>कौन रैखिक बहुपद व्यंजक है?</t>
  </si>
  <si>
    <t>2x−5</t>
  </si>
  <si>
    <t>x2+1/x+3</t>
  </si>
  <si>
    <t>x2+3x+4</t>
  </si>
  <si>
    <t>2x3−3x2+5x+7</t>
  </si>
  <si>
    <t>एक द्विघात बहुपद के शून्यकों का योग तथा गुणनफल क्रमशः 2 तथा -15 है, तो बहुपद है:</t>
  </si>
  <si>
    <t>बहुपद x2−9x+a के शून्यकों का गुणनफल 8 है, तो a का मान है:</t>
  </si>
  <si>
    <t>यदि P(x)=4x3−5x2+3x+7 के शून्यक α,β,γ हों, तो αβγ का मान होगा:</t>
  </si>
  <si>
    <t>-7/4</t>
  </si>
  <si>
    <t>-5/4</t>
  </si>
  <si>
    <t>द्विघात बहुपद q(x)=x2−x+4 के शून्यक α,β हों, तो α+β का मान होगा:</t>
  </si>
  <si>
    <t>द्विघात बहुपदों की संख्या जिनके शून्यक 2 और 6 हैं, होगी: [Concept]</t>
  </si>
  <si>
    <t>अनगिनत</t>
  </si>
  <si>
    <t>बहुपद x2−ax−b का शून्यक एक दूसरे के व्युत्क्रम हो तो: [Concept]</t>
  </si>
  <si>
    <t>b = -1</t>
  </si>
  <si>
    <t>b = 1</t>
  </si>
  <si>
    <t>b = a</t>
  </si>
  <si>
    <t>b = -a</t>
  </si>
  <si>
    <t>यदि बहुपद x2+px−q के शून्यक एक-दूसरे के बराबर किंतु विपरीत चिह्न के हों, तो: [Sum=0]</t>
  </si>
  <si>
    <t>p = 0</t>
  </si>
  <si>
    <t>p = 1</t>
  </si>
  <si>
    <t>p = -1</t>
  </si>
  <si>
    <t>p = q</t>
  </si>
  <si>
    <t>यदि बहुपद का आलेख x-अक्ष को कहीं नहीं काटता है, तो शून्यकों की संख्या होगी:</t>
  </si>
  <si>
    <t>बहुपद 2x+3 का शून्यक है:</t>
  </si>
  <si>
    <t>-3/2</t>
  </si>
  <si>
    <t>-2/3</t>
  </si>
  <si>
    <t>भाग लेमा के अनुसार a=bq+r में, r का मान क्या होना चाहिए?</t>
  </si>
  <si>
    <t>r=b</t>
  </si>
  <si>
    <t>P(x)=x2+7x+12 के शून्यक कौन-से हैं?</t>
  </si>
  <si>
    <t>-3, -4</t>
  </si>
  <si>
    <t>3, -4</t>
  </si>
  <si>
    <t>-3, 4</t>
  </si>
  <si>
    <t>यदि किसी बहुपद P(x) के लिए P(1)=0, तो P(x) का एक गुणनखंड होगा:</t>
  </si>
  <si>
    <t>x+1</t>
  </si>
  <si>
    <t>x−1</t>
  </si>
  <si>
    <t>x</t>
  </si>
  <si>
    <t>1/x</t>
  </si>
  <si>
    <t>2x2−3x−5 का एक शून्यक है: [Solve]</t>
  </si>
  <si>
    <t>यदि α,β बहुपद x2−3x+5 के शून्यक हैं, तो α/β+β/α का मान होगा: [Complex Calc]</t>
  </si>
  <si>
    <t>-1/5</t>
  </si>
  <si>
    <t>-19/5</t>
  </si>
  <si>
    <t>x2+1/6x−2 के शून्यक होंगे: [Factorize]</t>
  </si>
  <si>
    <t>-3/2, 4/3</t>
  </si>
  <si>
    <t>-4/3, 3/2</t>
  </si>
  <si>
    <t>4/3, -3/2</t>
  </si>
  <si>
    <t>यदि बहुपद x2+ax−b के मूल बराबर परंतु विपरीत चिह्न के हों, तो a का मान होगा: [Sum=0]</t>
  </si>
  <si>
    <t>यदि f(x)=x3−5x2+2x+2, तो f(1) का मान है: [Solve]</t>
  </si>
  <si>
    <t>रेखीय बहुपद का व्यापक रूप है:</t>
  </si>
  <si>
    <t>ax+b</t>
  </si>
  <si>
    <t>ax3</t>
  </si>
  <si>
    <t>ax2+c</t>
  </si>
  <si>
    <t>बिना घात के बहुपद को क्या कहते हैं?</t>
  </si>
  <si>
    <t>रैखिक</t>
  </si>
  <si>
    <t>द्विघात</t>
  </si>
  <si>
    <t>शून्य बहुपद</t>
  </si>
  <si>
    <t>यदि P(x)=x3−2x2+x−1, तो P(0) का मान क्या होगा?</t>
  </si>
  <si>
    <t>x3−27 के शून्यक हैं:</t>
  </si>
  <si>
    <t>3 और -3</t>
  </si>
  <si>
    <t>निम्नलिखित में कौन x−2y=0 तथा 3x+4y=10 का हल है? [Equation solve]</t>
  </si>
  <si>
    <t>x=2, y=1</t>
  </si>
  <si>
    <t>x=1, y=1</t>
  </si>
  <si>
    <t>x=2, y=2</t>
  </si>
  <si>
    <t>x=3, y=1</t>
  </si>
  <si>
    <t>बहुपद x2−15 के शून्यक हैं:</t>
  </si>
  <si>
    <t>15​,−15​</t>
  </si>
  <si>
    <t>15,−15</t>
  </si>
  <si>
    <t>15,15</t>
  </si>
  <si>
    <t>यदि P(x)=2x2+3x−5 हो, तो P(−1) का मान है:</t>
  </si>
  <si>
    <t>त्रिघात बहुपद के शून्यकों का योगफल (α+β+γ) का सूत्र है:</t>
  </si>
  <si>
    <t>b/a</t>
  </si>
  <si>
    <t>त्रिघात बहुपद में दो-दो करके शून्यकों के गुणनफल का योग (αβ+βγ+γα) का सूत्र है:</t>
  </si>
  <si>
    <t>-c/a</t>
  </si>
  <si>
    <t>x2+4x+4 के शून्यक हैं:</t>
  </si>
  <si>
    <t>-2, -2</t>
  </si>
  <si>
    <t>2, -2</t>
  </si>
  <si>
    <t>यदि बहुपद ax2+bx+c का आलेख नीचे की ओर खुला परवलय है, तो a का चिह्न क्या होगा?</t>
  </si>
  <si>
    <t>धनात्मक (a&gt;0)</t>
  </si>
  <si>
    <t>ऋणात्मक (a&lt;0)</t>
  </si>
  <si>
    <t>शून्य (a=0)</t>
  </si>
  <si>
    <t>3 घात वाले बहुपद को कहते हैं:</t>
  </si>
  <si>
    <t>त्रिघात</t>
  </si>
  <si>
    <t>चतुर्थ घात</t>
  </si>
  <si>
    <t>यदि भागफल x+2, भाजक x−1 और शेषफल 3 हो, तो भाज्य क्या होगा? [Formula]</t>
  </si>
  <si>
    <t>x2+x+1</t>
  </si>
  <si>
    <t>x2−x+1</t>
  </si>
  <si>
    <t>x2+x−1</t>
  </si>
  <si>
    <t>x2−x−1</t>
  </si>
  <si>
    <t>एक वास्तविक संख्या k बहुपद p(x) का शून्यक कहलाएगी यदि:</t>
  </si>
  <si>
    <t>p(k)=0</t>
  </si>
  <si>
    <t>p(k)=1</t>
  </si>
  <si>
    <t>p(k)&gt;0</t>
  </si>
  <si>
    <t>p(k)&lt;0</t>
  </si>
  <si>
    <t>x2−2 के शून्यक हैं:</t>
  </si>
  <si>
    <t>±2</t>
  </si>
  <si>
    <t>±2​</t>
  </si>
  <si>
    <t>±1</t>
  </si>
  <si>
    <t>यदि α,β द्विघात बहुपद f(x)=ax2+bx+c के मूल हों, तो α+β का मान है:</t>
  </si>
  <si>
    <t>यदि α,β द्विघात बहुपद f(x)=ax2+bx+c के मूल हों, तो α.β का मान है:</t>
  </si>
  <si>
    <t>x2(x2−4) की घात है: [Expand]</t>
  </si>
  <si>
    <t>यदि P(x)=x2−3x−4 तो P(4) का मान है:</t>
  </si>
  <si>
    <t>x4+1 में x2+1 से भाग देने पर शेषफल की घात होगी:</t>
  </si>
  <si>
    <t>1 या 0</t>
  </si>
  <si>
    <t>किसी बहुपद में चर का घात हमेशा होती है:</t>
  </si>
  <si>
    <t>भिन्न संख्या</t>
  </si>
  <si>
    <t>ऋणात्मक पूर्णांक</t>
  </si>
  <si>
    <t>पूर्ण संख्या (धनात्मक पूर्णांक)</t>
  </si>
  <si>
    <t>x​+3 है:</t>
  </si>
  <si>
    <t>बहुपद नहीं</t>
  </si>
  <si>
    <t>समीकरण</t>
  </si>
  <si>
    <t>x+1/x है:</t>
  </si>
  <si>
    <t>बहुपद x2−16 के शून्यक हैं: [Standard]</t>
  </si>
  <si>
    <t>-4, -4</t>
  </si>
  <si>
    <t>यदि बहुपद P(x) का आलेख x-अक्ष को केवल एक बिंदु पर स्पर्श करता है, तो शून्यक होंगे:</t>
  </si>
  <si>
    <t>2 समान शून्यक</t>
  </si>
  <si>
    <t>2 असमान शून्यक</t>
  </si>
  <si>
    <t>कोई शून्यक नहीं</t>
  </si>
  <si>
    <t>3 शून्यक</t>
  </si>
  <si>
    <t>y=ax2+bx+c का ग्राफ कहलाता है:</t>
  </si>
  <si>
    <t>वृत</t>
  </si>
  <si>
    <t>अतिपरवलय</t>
  </si>
  <si>
    <t>बहुपद 2x3−5x2−14x+8 के शून्यकों का योगफल क्या है?</t>
  </si>
  <si>
    <t>-5/2</t>
  </si>
  <si>
    <t>शून्य बहुपद का घात है:</t>
  </si>
  <si>
    <t>परिभाषित नहीं</t>
  </si>
  <si>
    <t>अचर बहुपद का घात है:</t>
  </si>
  <si>
    <t>यदि α,β बहुपद x2−5x+7 के शून्यक हैं, तो (1/α+1/β) का मान है: [Solve]</t>
  </si>
  <si>
    <t>-5/7</t>
  </si>
  <si>
    <t>-7/5</t>
  </si>
  <si>
    <t>बहुपद x2−kx−42 का एक शून्यक -3 है, तो k का मान है: [Solve]</t>
  </si>
  <si>
    <t>x2+7x+12 के शून्यकों का गुणनफल है:</t>
  </si>
  <si>
    <t>यदि p(x)=(x−1)(x−2), तो p(x) के शून्यक हैं:</t>
  </si>
  <si>
    <t>-1, -2</t>
  </si>
  <si>
    <t>1, -2</t>
  </si>
  <si>
    <t>-1, 2</t>
  </si>
  <si>
    <t>बहुपद z2−1/2z−3 के शून्यक हैं: [Solve]</t>
  </si>
  <si>
    <t>-3/2, 2</t>
  </si>
  <si>
    <t>3/2, -2</t>
  </si>
  <si>
    <t>-3, 2</t>
  </si>
  <si>
    <t>यदि बहुपद के सभी गुणांक शून्य हों, तो उसे कहते हैं:</t>
  </si>
  <si>
    <t>अचर बहुपद</t>
  </si>
  <si>
    <t>शेषफल प्रमेय (Remainder Theorem) के अनुसार यदि p(x) को x−a से भाग दिया जाए तो शेषफल होगा:</t>
  </si>
  <si>
    <t>p(0)</t>
  </si>
  <si>
    <t>p(a)</t>
  </si>
  <si>
    <t>p(−a)</t>
  </si>
  <si>
    <t>यदि बहुपद x3−3x2+x+1 के शून्यक a−b,a,a+b हों, तो a का मान है:</t>
  </si>
  <si>
    <t>3x2−12 के शून्यक हैं: [Solve]</t>
  </si>
  <si>
    <t>4, -4</t>
  </si>
  <si>
    <t>3, -3</t>
  </si>
  <si>
    <t>द्विघात बहुपद ax2+bx+c के शून्यकों की संख्या होगी:</t>
  </si>
  <si>
    <t>यदि P(x)=2x2+5x+k के शून्यक α,β हैं और α2+β2+αβ=21/4, तो k का मान है: [Solve]</t>
  </si>
  <si>
    <t>बहुपद x2+1/x2 का मान, यदि x+1/x=4 हो: [Algebra]</t>
  </si>
  <si>
    <t>2x2−3x−5 का एक शून्यक है:</t>
  </si>
  <si>
    <t>यदि P(x)=x2+7x+10 के शून्यक α,β हों, तो α.β का मान होगा:</t>
  </si>
  <si>
    <t>बहुपद y3−2y2−3​y+1/2 का घात है:</t>
  </si>
  <si>
    <t>यदि ax2+bx+c के शून्यक समान हों, तो निम्नलिखित में कौन सत्य है? [Concept]</t>
  </si>
  <si>
    <t>b2=4ac</t>
  </si>
  <si>
    <t>b2=−4ac</t>
  </si>
  <si>
    <t>b2=ac</t>
  </si>
  <si>
    <t>b2=2ac</t>
  </si>
  <si>
    <t>बहुपद x2−4x+1 के मूलों का योग होगा:</t>
  </si>
  <si>
    <t>त्रिघात बहुपद x3−4x के शून्यकों की संख्या है:</t>
  </si>
  <si>
    <t>यदि p(x)=x2−3x−4 तो p(−1) का मान है:</t>
  </si>
  <si>
    <t>2,−2</t>
  </si>
  <si>
    <t>2​,−2​</t>
  </si>
  <si>
    <t>2,2​</t>
  </si>
  <si>
    <t>2,2</t>
  </si>
  <si>
    <t>यदि बहुपद x2−9x+a के शून्यकों का गुणनफल 8 है, तो a का मान है:</t>
  </si>
  <si>
    <t>यदि α,β द्विघात बहुपद f(x)=x2−5x+7 के मूल हों, तो 1/α+1/β का मान होगा: [Formula: −b/c]</t>
  </si>
  <si>
    <t>द्विघात बहुपद x2+3x+2 के शून्यक हैं:</t>
  </si>
  <si>
    <t>(-1, -2)</t>
  </si>
  <si>
    <t>(2, 2)</t>
  </si>
  <si>
    <t>(-1, 2)</t>
  </si>
  <si>
    <t>(1, -2)</t>
  </si>
  <si>
    <t>यदि P(x)=x3−2x2+x−1 तो P(1) का मान होगा:</t>
  </si>
  <si>
    <t>यदि बहुपद P(x) का एक गुणनखंड (x+2) हो, तो P(−2) का मान होगा:</t>
  </si>
  <si>
    <t>x2−kx+8 के शून्यकों का योग 6 है, तो k का मान है:</t>
  </si>
  <si>
    <t>भाग एल्गोरिथ्म से, यदि भाजक g(x)=x2+2 और भागफल q(x)=x हो, तो भाज्य की घात कम से कम क्या होगी?</t>
  </si>
  <si>
    <t>यदि बहुपद का आलेख x-अक्ष को 2 बार काटता है, तो शून्यकों की संख्या है:</t>
  </si>
  <si>
    <t>y=p(x) का ग्राफ x-अक्ष को प्रतिच्छेद नहीं करता है, तो शून्यकों की संख्या है:</t>
  </si>
  <si>
    <t>कौन बहुपद नहीं है?</t>
  </si>
  <si>
    <t>2−x2</t>
  </si>
  <si>
    <t>द्विघात बहुपद के शून्यकों का योग α+β का सूत्र है:</t>
  </si>
  <si>
    <t>−b/a</t>
  </si>
  <si>
    <t>−c/a</t>
  </si>
  <si>
    <t>त्रिघात बहुपद ax3+bx2+cx+d के शून्यकों का गुणनफल (αβγ) है:</t>
  </si>
  <si>
    <t>−d/a</t>
  </si>
  <si>
    <t>यदि बहुपद x2+ax−b के शून्यक एक-दूसरे के व्युत्क्रम हों, तो:</t>
  </si>
  <si>
    <t>b=−1</t>
  </si>
  <si>
    <t>b=1</t>
  </si>
  <si>
    <t>b=a</t>
  </si>
  <si>
    <t>a=b</t>
  </si>
  <si>
    <t>एक रैखिक बहुपद ax+b का शून्यक है:</t>
  </si>
  <si>
    <t>−a/b</t>
  </si>
  <si>
    <t>यदि बहुपद x2+px−q के शून्यक समान परिमाण लेकिन विपरीत चिह्न के हों, तो: [Condition: sum=0]</t>
  </si>
  <si>
    <t>p=0</t>
  </si>
  <si>
    <t>q=0</t>
  </si>
  <si>
    <t>p=1</t>
  </si>
  <si>
    <t>q=1</t>
  </si>
  <si>
    <t>x2(x−1) की घात है:</t>
  </si>
  <si>
    <t>निम्नलिखित में कौन त्रिघात बहुपद है?</t>
  </si>
  <si>
    <t>x2−2x</t>
  </si>
  <si>
    <t>x3−3x2+1</t>
  </si>
  <si>
    <t>x4+1</t>
  </si>
  <si>
    <t>यदि P(x)=q(x)g(x)+r(x) और q(x)=0, तो r(x) की घात हमेशा होगी:</t>
  </si>
  <si>
    <t>g(x) से छोटी</t>
  </si>
  <si>
    <t>g(x) से बड़ी</t>
  </si>
  <si>
    <t>g(x) के बराबर</t>
  </si>
  <si>
    <t>बहुपद 4x2−4x+1 के शून्यकों का गुणनफल है:</t>
  </si>
  <si>
    <t>-1/4</t>
  </si>
  <si>
    <t>बहुपद 5y2−14y+8 के शून्यकों का योग है:</t>
  </si>
  <si>
    <t>यदि α,β,γ बहुपद x3−7x2+5x+9 के शून्यक हों, तो α+β+γ का मान है:</t>
  </si>
  <si>
    <t>यदि α,β द्विघात बहुपद f(x)=2x2+3x−5 के शून्यक हों, तो α+β का मान है:</t>
  </si>
  <si>
    <t>बहुपद x2−kx+8 का एक शून्यक 4 है, तो k का मान क्या है? [Solve using x=4]</t>
  </si>
  <si>
    <t>2x2+5x+k के शून्यक एक दूसरे के व्युत्क्रम हों, तो k का मान है: [Product=1]</t>
  </si>
  <si>
    <t>x2+1/x2 का मान क्या होगा यदि x+1/x=5? [Algebra Identity]</t>
  </si>
  <si>
    <t>बहुपद 3x2−12 के शून्यक हैं:</t>
  </si>
  <si>
    <t>4,−4</t>
  </si>
  <si>
    <t>12,−12</t>
  </si>
  <si>
    <t>यदि बहुपद P(x) का आलेख x-अक्ष को स्पर्श करता है, तो उसके मूल होंगे:</t>
  </si>
  <si>
    <t>वास्तविक और समान</t>
  </si>
  <si>
    <t>वास्तविक और असमान</t>
  </si>
  <si>
    <t>x2−3x−4 का आलेख (Graph) कैसा होगा?</t>
  </si>
  <si>
    <t>बहुपद p(y)=y2−3y+1 में p(1) का मान है:</t>
  </si>
  <si>
    <t>द्विघात बहुपद बनाने का सूत्र यदि शून्यकों का योग (S) और गुणनफल (P) दिया हो:</t>
  </si>
  <si>
    <t>k[x2−Sx+P]</t>
  </si>
  <si>
    <t>k[x2+Sx+P]</t>
  </si>
  <si>
    <t>k[x2−Sx−P]</t>
  </si>
  <si>
    <t>k[x2+Sx−P]</t>
  </si>
  <si>
    <t>x3−5x2+2x+2 में x=1 रखने पर मान होगा:</t>
  </si>
  <si>
    <t>बहुपद 2−y2−y3 की घात है:</t>
  </si>
  <si>
    <t>अचर बहुपद (जैसे 7) की घात क्या होती है?</t>
  </si>
  <si>
    <t>2​x−1 किस प्रकार का बहुपद है?</t>
  </si>
  <si>
    <t>यदि α,β बहुपद x2−px+q के मूल हों, तो α2+β2 का मान है:</t>
  </si>
  <si>
    <t>p2−2q</t>
  </si>
  <si>
    <t>p2+2q</t>
  </si>
  <si>
    <t>p2−q</t>
  </si>
  <si>
    <t>p2+q</t>
  </si>
  <si>
    <t>भाग लेमा a=bq+r में शेषफल r=0 हो तो b भाज्य a का क्या कहलाता है? [Basic]</t>
  </si>
  <si>
    <t>गुणज</t>
  </si>
  <si>
    <t>गुणनखंड</t>
  </si>
  <si>
    <t>शेष</t>
  </si>
  <si>
    <t>बहुपद x2−16 के शून्यक हैं:</t>
  </si>
  <si>
    <t>एक द्विघात बहुपद के अधिक से अधिक कितने शून्यक हो सकते हैं?</t>
  </si>
  <si>
    <t>यदि P(x)=(x−1)(x−2), तो P(2) का मान है:</t>
  </si>
  <si>
    <t>निम्नलिखित में कौन x में द्विघात बहुपद नहीं है?</t>
  </si>
  <si>
    <t>x2+3x−4</t>
  </si>
  <si>
    <t>x3−x2+3</t>
  </si>
  <si>
    <t>x2+1</t>
  </si>
  <si>
    <t>2x2</t>
  </si>
  <si>
    <t>यदि त्रिघात बहुपद का एक शून्यक 0 हो, तो अन्य दो शून्यकों का गुणनफल होगा: [Logic]</t>
  </si>
  <si>
    <t>बहुपद 2x3−5x2−14x+8 के शून्यकों का गुणनफल है:</t>
  </si>
  <si>
    <t>यदि α,β बहुपद x2−4x+3 के मूल हों, तो 3α+3β का मान है: [Scalar mult.]</t>
  </si>
  <si>
    <t>बहुपद x2−2x+1 के शून्यक हैं: [Factorization]</t>
  </si>
  <si>
    <t>1, -1</t>
  </si>
  <si>
    <t>0, 1</t>
  </si>
  <si>
    <t>यदि p(x)=g(x)q(x)+r(x) और deg(p(x))=4,deg(g(x))=2 तो deg(q(x)) होगा: [Logic: 4-2]</t>
  </si>
  <si>
    <t>x​+2x+5 एक बहुपद है?</t>
  </si>
  <si>
    <t>कह नहीं सकते</t>
  </si>
  <si>
    <t>यदि बहुपद के शून्यकों का योग 0 और गुणनफल 5​ हो, तो द्विघात बहुपद है:</t>
  </si>
  <si>
    <t>x2−5​</t>
  </si>
  <si>
    <t>x2+5​</t>
  </si>
  <si>
    <t>x2−5</t>
  </si>
  <si>
    <t>x2+5</t>
  </si>
  <si>
    <t>(x+1) किस बहुपद का गुणनखंड है? [Check P(-1)=0]</t>
  </si>
  <si>
    <t>x2−1</t>
  </si>
  <si>
    <t>3x+4 का शून्यक है: [Solve]</t>
  </si>
  <si>
    <t>−3/4</t>
  </si>
  <si>
    <t>−4/3</t>
  </si>
  <si>
    <t>बहुपद x2−ax+a−1 का एक गुणनखंड है: [Check]</t>
  </si>
  <si>
    <t>x−a</t>
  </si>
  <si>
    <t>x+a</t>
  </si>
  <si>
    <t>यदि P(x)=x2−3x+5, तो P(0) का मान है: [Constant term]</t>
  </si>
  <si>
    <t>रैखिक बहुपद के शून्यकों की संख्या होती है:</t>
  </si>
  <si>
    <t>बहुपद x2−5 के शून्यक हैं:</t>
  </si>
  <si>
    <t>±5</t>
  </si>
  <si>
    <t>±5​</t>
  </si>
  <si>
    <t>2x2+3x+1 को x+2 से भाग देने पर शेषफल होगा: [Remainder Thm: P(-2)]</t>
  </si>
  <si>
    <t>यदि बहुपद ax2+bx+c का आलेख ऊपर की ओर खुला परवलय है, तो a होगा:</t>
  </si>
  <si>
    <t>x2−9 का एक गुणनखंड है: [Identity]</t>
  </si>
  <si>
    <t>x−3</t>
  </si>
  <si>
    <t>x−9</t>
  </si>
  <si>
    <t>x+9</t>
  </si>
  <si>
    <t>यदि α,β,γ बहुपद 2x3−3x2+4x−5 के शून्यक हों, तो αβγ का मान है: [-d/a]</t>
  </si>
  <si>
    <t>बहुपद y2−6y+8 का घात है:</t>
  </si>
  <si>
    <t>यदि x−1, 4x3+3x2−4x+k का गुणनखंड है, तो k का मान है: [P(1)=0]</t>
  </si>
  <si>
    <t>यदि बहुपद p(x)=2x+3 है, तो p(x) का शून्यक कहाँ स्थित होगा? [x-axis intersect]</t>
  </si>
  <si>
    <t>(-3/2, 0)</t>
  </si>
  <si>
    <t>(3/2, 0)</t>
  </si>
  <si>
    <t>(0, 3/2)</t>
  </si>
  <si>
    <t>(0, -3/2)</t>
  </si>
  <si>
    <t>निम्नलिखित में कौन 1/x2 गुणांक वाला बहुपद नहीं है? [Powers must be whole]</t>
  </si>
  <si>
    <t>x2+2</t>
  </si>
  <si>
    <t>त्रिघात बहुपद के शून्यकों का योग (α+β+γ) का सूत्र है:</t>
  </si>
  <si>
    <t>यदि α,β बहुपद x2−x−1 के शून्यक हैं, तो 1/α+1/β का मान है: [-b/c]</t>
  </si>
  <si>
    <t>बहुपद 3x2−5x+7 के मूलों का योगफल है:</t>
  </si>
  <si>
    <t>-7/3</t>
  </si>
  <si>
    <t>यदि बहुपद x2+kx+12 का एक शून्यक 3 है, तो k का मान है: [Solve]</t>
  </si>
  <si>
    <t>बहुपद x2−1 के शून्यक हैं: [Basic]</t>
  </si>
  <si>
    <t>1, 0</t>
  </si>
  <si>
    <t>2x2−8x+6 के शून्यकों का योगफल क्या है?</t>
  </si>
  <si>
    <t>निम्नलिखित में से कौन बहुपद है? [Standard def]</t>
  </si>
  <si>
    <t>x​+3</t>
  </si>
  <si>
    <t>x3/2+1</t>
  </si>
  <si>
    <t>x−1+2</t>
  </si>
  <si>
    <t>यदि बहुपद P(x) की घात 3 है, तो उसके अधिकतम शून्यक हो सकते हैं:</t>
  </si>
  <si>
    <t>शेषफल प्रमेय के अनुसार, यदि p(x) को x−a से भाग दिया जाए, तो शेषफल होगा:</t>
  </si>
  <si>
    <t>यदि α,β द्विघात बहुपद 4x2−4x+1 के शून्यक हों, तो α/β+β/α का मान होगा: [Calc]</t>
  </si>
  <si>
    <t>यदि किसी द्विघात बहुपद के शून्यकों का योग -3 और गुणनफल -10 हो, तो बहुपद है:</t>
  </si>
  <si>
    <t>x2+3x−10</t>
  </si>
  <si>
    <t>x2−3x−10</t>
  </si>
  <si>
    <t>x2+3x+10</t>
  </si>
  <si>
    <t>x2−3x+10</t>
  </si>
  <si>
    <t>x2+2x+1 का एक गुणनखंड है: [Perfect Sq]</t>
  </si>
  <si>
    <t>x−2</t>
  </si>
  <si>
    <t>x+2</t>
  </si>
  <si>
    <t>यदि p(x)=q(x)g(x) और p(x) की घात 5 और g(x) की घात 3 हो, तो q(x) की घात होगी:</t>
  </si>
  <si>
    <t>x2−5x+6 के शून्यक हैं:</t>
  </si>
  <si>
    <t>-2, -3</t>
  </si>
  <si>
    <t>2, -3</t>
  </si>
  <si>
    <t>-2, 3</t>
  </si>
  <si>
    <t>यदि बहुपद 2x3+6x2−4x+9 के शून्यक समानांतर श्रेणी (AP) में हों, तो मध्य शून्यक होगा: [Trick: -b/3a]</t>
  </si>
  <si>
    <t>कौन सा व्यंजक द्विपदी (Binomial) है?</t>
  </si>
  <si>
    <t>x2</t>
  </si>
  <si>
    <t>यदि α,β मूल हों और α+β=0,αβ=1, तो समीकरण है:</t>
  </si>
  <si>
    <t>x2+1=0</t>
  </si>
  <si>
    <t>x2−1=0</t>
  </si>
  <si>
    <t>x2+x=0</t>
  </si>
  <si>
    <t>x2=0</t>
  </si>
  <si>
    <t>यदि बहुपद का ग्राफ x-अक्ष को 3 बिंदुओं पर काटता है, तो शून्यकों की संख्या:</t>
  </si>
  <si>
    <t>k के किस मान के लिए −4, बहुपद x2−x−(2k+2) का एक शून्यक है? [Solve]</t>
  </si>
  <si>
    <t>3x2−2 के शून्यक हैं:</t>
  </si>
  <si>
    <t>±2/3​</t>
  </si>
  <si>
    <t>±2/3</t>
  </si>
  <si>
    <t>±3/2</t>
  </si>
  <si>
    <t>±3/2​</t>
  </si>
  <si>
    <t>4u2+8u के शून्यक हैं: [Factorize: 4u(u+2)]</t>
  </si>
  <si>
    <t>0, -2</t>
  </si>
  <si>
    <t>0, 2</t>
  </si>
  <si>
    <t>-4, -8</t>
  </si>
  <si>
    <t>यदि बहुपद P(x) का एक शून्यक -2 है, तो P(x) का एक गुणनखंड होगा:</t>
  </si>
  <si>
    <t>2x−1</t>
  </si>
  <si>
    <t>α3+β3 का मान, यदि α+β=2,αβ=1: [Formula]</t>
  </si>
  <si>
    <t>एक वास्तविक संख्या a बहुपद P(x) का शून्यक है यदि P(a) बराबर है: [Basic]</t>
  </si>
  <si>
    <t>गणित</t>
  </si>
  <si>
    <t>दो चरों वाले रैखिक समीकरण युग्म</t>
  </si>
  <si>
    <t>यदि रैखिक समीकरणों का युग्म संगत (Consistent) है, तो रेखाएँ कैसी होंगी?</t>
  </si>
  <si>
    <t>केवल समान्तर</t>
  </si>
  <si>
    <t>केवल प्रतिच्छेदी</t>
  </si>
  <si>
    <t>प्रतिच्छेदी या संपाती</t>
  </si>
  <si>
    <t>केवल संपाती</t>
  </si>
  <si>
    <t>समीकरण निकाय x+2y=3 और 5x+ky=15 के अनगिनत हल होने के लिए k का मान क्या है?</t>
  </si>
  <si>
    <t>यदि 2x+3y=11 और 2x−4y=−24 हो, तो m का मान क्या होगा जिसके लिए y=mx+3 हो?</t>
  </si>
  <si>
    <t>समीकरण x=a और y=b का आलेख किन बिन्दुओं पर प्रतिच्छेद करता है?</t>
  </si>
  <si>
    <t>(a, b)</t>
  </si>
  <si>
    <t>(b, a)</t>
  </si>
  <si>
    <t>(a, 0)</t>
  </si>
  <si>
    <t>(0, b)</t>
  </si>
  <si>
    <t>यदि समीकरण निकाय kx−5y=2 तथा 6x+2y=7 का कोई हल न हो, तो k का मान होगा:</t>
  </si>
  <si>
    <t>दो चर वाले रैखिक समीकरण 2x+3y=12 में यदि x=3 हो, तो y का मान क्या होगा?</t>
  </si>
  <si>
    <t>x+y=14 और x−y=4 का हल है:</t>
  </si>
  <si>
    <t>x=9, y=5</t>
  </si>
  <si>
    <t>x=5, y=9</t>
  </si>
  <si>
    <t>x=8, y=6</t>
  </si>
  <si>
    <t>x=10, y=4</t>
  </si>
  <si>
    <t>रैखिक समीकरण युग्म x+2y−4=0 और 2x+4y−12=0 के हल हैं:</t>
  </si>
  <si>
    <t>अद्वितीय</t>
  </si>
  <si>
    <t>कोई हल नहीं</t>
  </si>
  <si>
    <t>यदि 102y=25 तो 10−y बराबर है:</t>
  </si>
  <si>
    <t>1/50</t>
  </si>
  <si>
    <t>1/625</t>
  </si>
  <si>
    <t>k के किस मान के लिए समीकरण x+2y=7 और 2x+ky=14 संपाती होंगे?</t>
  </si>
  <si>
    <t>समीकरण युग्म 3x−5y=20 और 6x−10y=40 के कितने हल हैं?</t>
  </si>
  <si>
    <t>एक</t>
  </si>
  <si>
    <t>दो</t>
  </si>
  <si>
    <t>कोई नहीं</t>
  </si>
  <si>
    <t>यदि 0.3x−0.37=0.37x−0.3 तो x का मान है:</t>
  </si>
  <si>
    <t>आश्रित समीकरण युग्म (Dependent Pair) का आलेख कैसा होता है?</t>
  </si>
  <si>
    <t>संपाती रेखाएँ</t>
  </si>
  <si>
    <t>समान्तर रेखाएँ</t>
  </si>
  <si>
    <t>प्रतिच्छेदी रेखाएँ</t>
  </si>
  <si>
    <t>लम्बवत रेखाएँ</t>
  </si>
  <si>
    <t>यदि दो संख्याओं का योग 26 और अंतर 10 है, तो वे संख्याएँ हैं:</t>
  </si>
  <si>
    <t>समीकरण 2​x+3​y=0 और 3​x−8​y=0 का हल है:</t>
  </si>
  <si>
    <t>x=0, y=0</t>
  </si>
  <si>
    <t>x=2, y=3</t>
  </si>
  <si>
    <t>समीकरण निकाय 2x+3y=5 और 4x+6y=9 है:</t>
  </si>
  <si>
    <t>संगत</t>
  </si>
  <si>
    <t>असंगत</t>
  </si>
  <si>
    <t>आश्रित</t>
  </si>
  <si>
    <t>यदि x=1, y=2 समीकरण निकाय 3x+ay=1 और 7x−2y=3 का हल हो, तो a का मान क्या होगा?</t>
  </si>
  <si>
    <t>वह रैखिक समीकरण जिसका आलेख y-अक्ष के समान्तर हो:</t>
  </si>
  <si>
    <t>y = 5</t>
  </si>
  <si>
    <t>x = 5</t>
  </si>
  <si>
    <t>x + y = 5</t>
  </si>
  <si>
    <t>x - y = 0</t>
  </si>
  <si>
    <t>पिता की आयु पुत्र की आयु की तीन गुनी है। 5 वर्ष बाद पिता की आयु पुत्र की आयु की ढाई गुनी हो जाएगी। पुत्र की वर्तमान आयु है:</t>
  </si>
  <si>
    <t>10 वर्ष</t>
  </si>
  <si>
    <t>15 वर्ष</t>
  </si>
  <si>
    <t>20 वर्ष</t>
  </si>
  <si>
    <t>5 वर्ष</t>
  </si>
  <si>
    <t>यदि समीकरण 2x+3y=13 में x का मान 2 है, तो y का संगत मान क्या है?</t>
  </si>
  <si>
    <t>2x+3y=11 और 2x−4y=−24 को हल करने पर x का मान प्राप्त होगा:</t>
  </si>
  <si>
    <t>रैखिक समीकरण 2x−3y=12 में यदि y=0 हो, तो x का मान होगा:</t>
  </si>
  <si>
    <t>समीकरण y−4=0 का आलेख कैसी सरल रेखा होगी?</t>
  </si>
  <si>
    <t>x-अक्ष के समान्तर</t>
  </si>
  <si>
    <t>y-अक्ष के समान्तर</t>
  </si>
  <si>
    <t>मूल बिन्दु से जाती हुई</t>
  </si>
  <si>
    <t>एक भिन्न का अंश उसके हर से 3 कम है। यदि अंश और हर दोनों में 1 जोड़ दिया जाए तो भिन्न का मान 1/2 हो जाता है। वह भिन्न है:</t>
  </si>
  <si>
    <t>समीकरण निकाय x+2y=3 और 5x+ky=15 के अनगिनत हल होने के लिए k का मान है:</t>
  </si>
  <si>
    <t>यदि 29x+37y=103 और 37x+29y=95 हो, तो x+y का मान होगा:</t>
  </si>
  <si>
    <t>k के किस मान के लिए समीकरण युग्म x+2y=5 और 3x+ky+15=0 का अद्वितीय हल है?</t>
  </si>
  <si>
    <t>k ≠ 6</t>
  </si>
  <si>
    <t>k = 6</t>
  </si>
  <si>
    <t>k ≠ -6</t>
  </si>
  <si>
    <t>k = -6</t>
  </si>
  <si>
    <t>यदि x+y=7 और 5x+12y=7 हो, तो x का मान है:</t>
  </si>
  <si>
    <t>समीकरण x+y=6 के कितने पूर्णांक हल संभव हैं?</t>
  </si>
  <si>
    <t>केवल एक</t>
  </si>
  <si>
    <t>शून्य</t>
  </si>
  <si>
    <t>रैखिक समीकरण युग्म को हल करने की बीजगणितीय विधि नहीं है:</t>
  </si>
  <si>
    <t>प्रतिस्थापन विधि</t>
  </si>
  <si>
    <t>विलोपन विधि</t>
  </si>
  <si>
    <t>वज्र-गुणन विधि</t>
  </si>
  <si>
    <t>आलेखीय विधि</t>
  </si>
  <si>
    <t>यदि समीकरण निकाय a1​x+b1​y+c1​=0 और a2​x+b2​y+c2​=0 में a1​/a2​=b1​/b2​=c1​/c2​ हो, तो हल होगा:</t>
  </si>
  <si>
    <t>एक हल</t>
  </si>
  <si>
    <t>अनेक हल</t>
  </si>
  <si>
    <t>दो हल</t>
  </si>
  <si>
    <t>x-अक्ष का समीकरण है:</t>
  </si>
  <si>
    <t>x = 0</t>
  </si>
  <si>
    <t>y = 0</t>
  </si>
  <si>
    <t>x = y</t>
  </si>
  <si>
    <t>x + y = 0</t>
  </si>
  <si>
    <t>y-अक्ष का समीकरण है:</t>
  </si>
  <si>
    <t>दो अंकों की संख्या के अंकों का योग 9 है। संख्या से 27 घटाने पर अंक पलट जाते हैं। वह संख्या है:</t>
  </si>
  <si>
    <t>समीकरण 2x+3y=17 में यदि y=3 हो, तो x का मान होगा:</t>
  </si>
  <si>
    <t>समीकरण युग्म x−2y=0 और 3x+4y=20 का हल है:</t>
  </si>
  <si>
    <t>x=4, y=2</t>
  </si>
  <si>
    <t>x=2, y=4</t>
  </si>
  <si>
    <t>x=4, y=4</t>
  </si>
  <si>
    <t>यदि 3x−5y=0 और 9x+15y=0 हो, तो x और y के मान हैं:</t>
  </si>
  <si>
    <t>x=5, y=3</t>
  </si>
  <si>
    <t>x=3, y=5</t>
  </si>
  <si>
    <t>समीकरण x+2y=9 के लिए प्राकृत संख्याओं के समुच्चय में हलों का समुच्चय होगा:</t>
  </si>
  <si>
    <t>{(1, 4), (3, 3), (5, 2), (7, 1)}</t>
  </si>
  <si>
    <t>{(1, 4), (2, 3), (3, 2)}</t>
  </si>
  <si>
    <t>{(1, 4), (3, 3), (5, 2)}</t>
  </si>
  <si>
    <t>{(7, 1), (5, 2)}</t>
  </si>
  <si>
    <t>यदि 2x+3y=7 और 2ax+(a+b)y=28 के अनंत हल हों, तो a और b का मान है:</t>
  </si>
  <si>
    <t>a=4, b=8</t>
  </si>
  <si>
    <t>a=8, b=4</t>
  </si>
  <si>
    <t>a=4, b=4</t>
  </si>
  <si>
    <t>a=-4, b=-8</t>
  </si>
  <si>
    <t>विलोपन विधि में हम किसे विलुप्त करते हैं?</t>
  </si>
  <si>
    <t>केवल अचर पद को</t>
  </si>
  <si>
    <t>किसी एक चर को</t>
  </si>
  <si>
    <t>दोनों चरों को</t>
  </si>
  <si>
    <t>गुणांकों को</t>
  </si>
  <si>
    <t>चक्रीय चतुर्भुज के सम्मुख कोणों का योग कितना होता है (जिसका उपयोग समीकरण बनाने में होता है)?</t>
  </si>
  <si>
    <t>90 डिग्री</t>
  </si>
  <si>
    <t>180 डिग्री</t>
  </si>
  <si>
    <t>360 डिग्री</t>
  </si>
  <si>
    <t>100 डिग्री</t>
  </si>
  <si>
    <t>यदि ax+by=c और lx+my=n का अद्वितीय हल है, तो:</t>
  </si>
  <si>
    <t>am ≠ bl</t>
  </si>
  <si>
    <t>am = bl</t>
  </si>
  <si>
    <t>al = bm</t>
  </si>
  <si>
    <t>al ≠ bm</t>
  </si>
  <si>
    <t>समीकरण x+y=10 और x−y=6 में y का मान क्या होगा?</t>
  </si>
  <si>
    <t>दो संपूरक कोणों में बड़ा कोण छोटे कोण से 18 डिग्री अधिक है। दोनों कोण हैं:</t>
  </si>
  <si>
    <t>99, 81</t>
  </si>
  <si>
    <t>90, 90</t>
  </si>
  <si>
    <t>100, 80</t>
  </si>
  <si>
    <t>108, 72</t>
  </si>
  <si>
    <t>समीकरण 3x+2y=5 और 2x−3y=7 का आलेख कैसा होगा?</t>
  </si>
  <si>
    <t>प्रतिच्छेदी</t>
  </si>
  <si>
    <t>समान्तर</t>
  </si>
  <si>
    <t>संपाती</t>
  </si>
  <si>
    <t>लम्बवत</t>
  </si>
  <si>
    <t>5 वर्ष पूर्व नूरी की आयु सोनू की आयु की तीन गुनी थी। यह प्रश्न किस अध्याय का है?</t>
  </si>
  <si>
    <t>द्विघात समीकरण</t>
  </si>
  <si>
    <t>दो चरों वाले रैखिक समीकरण</t>
  </si>
  <si>
    <t>सांख्यिकी</t>
  </si>
  <si>
    <t>त्रिभुज</t>
  </si>
  <si>
    <t>यदि एक आयत की लम्बाई 5 इकाई कम कर दी जाए और चौड़ाई 3 इकाई बढ़ा दी जाए तो क्षेत्रफल 9 वर्ग इकाई कम हो जाता है। यह उदाहरण है:</t>
  </si>
  <si>
    <t>द्विघात समीकरण का</t>
  </si>
  <si>
    <t>रैखिक समीकरण युग्म का</t>
  </si>
  <si>
    <t>बहुपद का</t>
  </si>
  <si>
    <t>समीकरण 2x+3y=11 और 2x−4y=−24 का हल किस चतुर्थांश में होगा?</t>
  </si>
  <si>
    <t>प्रथम</t>
  </si>
  <si>
    <t>द्वितीय</t>
  </si>
  <si>
    <t>तृतीय</t>
  </si>
  <si>
    <t>चतुर्थ</t>
  </si>
  <si>
    <t>दो चर वाले रैखिक समीकरण युग्म के संगत होने की शर्त a1​/a2​=b1​/b2​ क्या दर्शाती है?</t>
  </si>
  <si>
    <t>समीकरण x=−5 का आलेख कैसी रेखा होगी?</t>
  </si>
  <si>
    <t>समीकरण y=4 का आलेख किस बिन्दु से नहीं गुजरेगा?</t>
  </si>
  <si>
    <t>(1, 4)</t>
  </si>
  <si>
    <t>(2, 4)</t>
  </si>
  <si>
    <t>(0, 4)</t>
  </si>
  <si>
    <t>(4, 0)</t>
  </si>
  <si>
    <t>यदि 3x−2y=12 और 4x−5y=16 हो, तो y का मान:</t>
  </si>
  <si>
    <t>यदि x/2+y/3=1 और x/3+y/2=1 हो, तो x+y का मान होगा:</t>
  </si>
  <si>
    <t>समीकरण 5x−3y+2=0 में यदि x=1, तो y=?</t>
  </si>
  <si>
    <t>रैखिक समीकरण का मानक रूप क्या है?</t>
  </si>
  <si>
    <t>ax² + bx + c = 0</t>
  </si>
  <si>
    <t>ax + by + c = 0</t>
  </si>
  <si>
    <t>ax³ + bx² + cx + d = 0</t>
  </si>
  <si>
    <t>ax² + by² = c</t>
  </si>
  <si>
    <t>एक क्रिकेट टीम के कोच ने 7 बल्ले और 6 गेंदें ₹ 3800 में खरीदीं। एक बल्ले की कीमत x और गेंद की y हो तो समीकरण होगा:</t>
  </si>
  <si>
    <t>7x + 6y = 3800</t>
  </si>
  <si>
    <t>6x + 7y = 3800</t>
  </si>
  <si>
    <t>7x - 6y = 3800</t>
  </si>
  <si>
    <t>x + y = 3800</t>
  </si>
  <si>
    <t>यदि दो चर x और y में रैखिक समीकरण युग्म के अनंत हल हों, तो c1​/c2​ किसके बराबर होगा?</t>
  </si>
  <si>
    <t>a1​/a2​</t>
  </si>
  <si>
    <t>b1​/b2​</t>
  </si>
  <si>
    <t>दोनों A और B</t>
  </si>
  <si>
    <t>समीकरण x+y=14 में यदि x=10.5 है, तो y क्या है?</t>
  </si>
  <si>
    <t>निम्न में से कौन सा समीकरण रैखिक नहीं है?</t>
  </si>
  <si>
    <t>3x - y = 5</t>
  </si>
  <si>
    <t>x + 2y = 8</t>
  </si>
  <si>
    <t>x² + y = 2</t>
  </si>
  <si>
    <t>2x + 3y = 0</t>
  </si>
  <si>
    <t>3x−y=3 और 9x−3y=9 के हल हैं:</t>
  </si>
  <si>
    <t>अपरिमित रूप से अनेक</t>
  </si>
  <si>
    <t>0.2x+0.3y=1.3 और 0.4x+0.5y=2.3 का हल है:</t>
  </si>
  <si>
    <t>x=3, y=2</t>
  </si>
  <si>
    <t>x=1, y=4</t>
  </si>
  <si>
    <t>x=4, y=1</t>
  </si>
  <si>
    <t>2​x+3​y=0 समीकरण किस प्रकार का है?</t>
  </si>
  <si>
    <t>समघातीय (Homogeneous)</t>
  </si>
  <si>
    <t>असमघातीय</t>
  </si>
  <si>
    <t>यदि 4x+py+8=0 और 2x+2y+2=0 का अद्वितीय हल हो तो p का मान नहीं हो सकता:</t>
  </si>
  <si>
    <t>दो संख्याओं का अंतर 26 है और एक संख्या दूसरी की तीन गुनी है। संख्याएँ हैं:</t>
  </si>
  <si>
    <t>39, 13</t>
  </si>
  <si>
    <t>26, 0</t>
  </si>
  <si>
    <t>36, 12</t>
  </si>
  <si>
    <t>समीकरण निकाय 2x+y−6=0 और 4x−2y−4=0 का हल आलेखीय विधि से किस बिन्दु पर मिलेगा?</t>
  </si>
  <si>
    <t>(2, -2)</t>
  </si>
  <si>
    <t>(-2, 2)</t>
  </si>
  <si>
    <t>(0, 0)</t>
  </si>
  <si>
    <t>3x/2−5y/3=−2 को सरल रूप में बदलने पर प्राप्त होगा:</t>
  </si>
  <si>
    <t>9x - 10y + 12 = 0</t>
  </si>
  <si>
    <t>9x - 10y - 12 = 0</t>
  </si>
  <si>
    <t>9x + 10y + 12 = 0</t>
  </si>
  <si>
    <t>3x - 5y + 2 = 0</t>
  </si>
  <si>
    <t>यदि x−y=3 और x/3+y/2=6 हो, तो x का मान है:</t>
  </si>
  <si>
    <t>समीकरण 2x+3y=8 और 4x+6y=7 के युग्म हैं:</t>
  </si>
  <si>
    <t>आलेखीय विधि में यदि रेखाएँ समानांतर हैं, तो हलों की संख्या:</t>
  </si>
  <si>
    <t>समीकरण x=0 और x=−2 के कितने हल होंगे?</t>
  </si>
  <si>
    <t>दो चर वाले रैखिक समीकरण ax+by+c=0 में a और b दोनों:</t>
  </si>
  <si>
    <t>शून्य नहीं हो सकते</t>
  </si>
  <si>
    <t>शून्य हो सकते हैं</t>
  </si>
  <si>
    <t>एक हो सकते हैं</t>
  </si>
  <si>
    <t>यदि x+2y−5=0 और ax+(a−b)y−10=0 के अनंत हल हों तो:</t>
  </si>
  <si>
    <t>a=2, b=1</t>
  </si>
  <si>
    <t>a=2, b=0</t>
  </si>
  <si>
    <t>a=2, b=-1</t>
  </si>
  <si>
    <t>a=1, b=2</t>
  </si>
  <si>
    <t>2x+3y=11 में y को x के पदों में व्यक्त करें:</t>
  </si>
  <si>
    <t>y = (11-2x)/3</t>
  </si>
  <si>
    <t>y = (11+2x)/3</t>
  </si>
  <si>
    <t>y = (2x-11)/3</t>
  </si>
  <si>
    <t>y = 11-2x</t>
  </si>
  <si>
    <t>"पाँच वर्ष बाद जैकब की आयु उसके पुत्र की आयु से तीन गुनी हो जाएगी" - इसका बीजीय रूप है (जैकब=x, पुत्र=y):</t>
  </si>
  <si>
    <t>x + 5 = 3(y + 5)</t>
  </si>
  <si>
    <t>x - 5 = 3(y - 5)</t>
  </si>
  <si>
    <t>x = 3y</t>
  </si>
  <si>
    <t>x + 5 = 3y + 5</t>
  </si>
  <si>
    <t>यदि x+y=a+b और ax−by=a2−b2 हो, तो x का मान है:</t>
  </si>
  <si>
    <t>a-b</t>
  </si>
  <si>
    <t>217x+131y=913 और 131x+217y=827 को जोड़ने पर प्राप्त समीकरण होगा:</t>
  </si>
  <si>
    <t>x - y = 5</t>
  </si>
  <si>
    <t>348x + 348y = 1740</t>
  </si>
  <si>
    <t>A और C दोनों</t>
  </si>
  <si>
    <t>वज्र-गुणन विधि में x का मान निकालने का सूत्र किस गुणांक से शुरू होता है?</t>
  </si>
  <si>
    <t>b1​</t>
  </si>
  <si>
    <t>a1​</t>
  </si>
  <si>
    <t>c1​</t>
  </si>
  <si>
    <t>b2​</t>
  </si>
  <si>
    <t>समीकरण युग्म x+2y+5=0 और −3x−6y+1=0 में c1​/c2​ का मान है:</t>
  </si>
  <si>
    <t>-5/1</t>
  </si>
  <si>
    <t>एक आयताकार बाग जिसकी लम्बाई, चौड़ाई से 4 मी अधिक है, का अर्धपरिमाप 36 मी है। बाग की लम्बाई है:</t>
  </si>
  <si>
    <t>16 मी</t>
  </si>
  <si>
    <t>36 मी</t>
  </si>
  <si>
    <t>यदि 3x+4y=10 और 2x−2y=2 हो, तो y का मान:</t>
  </si>
  <si>
    <t>समीकरण 2x+3y=12 के लिए निम्न में से कौन सा हल सही नहीं है?</t>
  </si>
  <si>
    <t>(3, 2)</t>
  </si>
  <si>
    <t>(6, 0)</t>
  </si>
  <si>
    <t>(3, 3)</t>
  </si>
  <si>
    <t>यदि 1/x+1/y=3 और 1/x−1/y=1 हो, तो x का मान है:</t>
  </si>
  <si>
    <t>k के किस मान के लिए समीकरण x+2y=3 और 5x+ky=7 का कोई हल नहीं होगा?</t>
  </si>
  <si>
    <t>यदि दो चर में रैखिक समीकरण युग्म के आलेख एक दूसरे के लंबवत हों, तो हलों की संख्या:</t>
  </si>
  <si>
    <t>दो संख्याओं का योग 15 है और उनके व्युत्क्रमों का योग 3/10 है। संख्याएँ हैं:</t>
  </si>
  <si>
    <t>एक नाव धारा के अनुकूल 2 घंटे में 20 किमी जाती है। नाव की चाल (x) और धारा की चाल (y) में संबंध है:</t>
  </si>
  <si>
    <t>x + y = 10</t>
  </si>
  <si>
    <t>x - y = 10</t>
  </si>
  <si>
    <t>x + y = 20</t>
  </si>
  <si>
    <t>x - y = 20</t>
  </si>
  <si>
    <t>एक नाव धारा के प्रतिकूल 2 घंटे में 4 किमी जाती है। समीकरण होगा:</t>
  </si>
  <si>
    <t>x - y = 2</t>
  </si>
  <si>
    <t>x + y = 2</t>
  </si>
  <si>
    <t>x - y = 4</t>
  </si>
  <si>
    <t>x + y = 4</t>
  </si>
  <si>
    <t>यदि 2x+3y=17 और 2x+2−3y+1=5 हो तो x और y हैं:</t>
  </si>
  <si>
    <t>x=1, y=2</t>
  </si>
  <si>
    <t>रैखिक समीकरण 3x+4y=12 का आलेख x-अक्ष को किस बिन्दु पर काटेगा?</t>
  </si>
  <si>
    <t>(0, 3)</t>
  </si>
  <si>
    <t>(3, 0)</t>
  </si>
  <si>
    <t>रैखिक समीकरण 3x+4y=12 का आलेख y-अक्ष को किस बिन्दु पर काटेगा?</t>
  </si>
  <si>
    <t>यदि x=a,y=b समीकरण x−y=2 और x+y=4 के हल हों, तो a और b के मान क्रमशः हैं:</t>
  </si>
  <si>
    <t>समीकरण 4x+py+8=0 में p के किस मान के लिए अद्वितीय हल होगा यदि दूसरा समीकरण 2x+2y+2=0 है?</t>
  </si>
  <si>
    <t>p ≠ 4</t>
  </si>
  <si>
    <t>p = 4</t>
  </si>
  <si>
    <t>p ≠ 2</t>
  </si>
  <si>
    <t>p = 2</t>
  </si>
  <si>
    <t>टैक्सी का किराया: नियत किराया x और प्रति किमी किराया y। 10 किमी के लिए समीकरण होगा:</t>
  </si>
  <si>
    <t>x + 10y = कुल किराया</t>
  </si>
  <si>
    <t>10x + y = कुल किराया</t>
  </si>
  <si>
    <t>x - 10y = 0</t>
  </si>
  <si>
    <t>निम्न में से किस विधि से रैखिक समीकरण युग्म को हल नहीं किया जा सकता?</t>
  </si>
  <si>
    <t>गुणनखंड विधि</t>
  </si>
  <si>
    <t>समीकरण x+y=5 और 2x+2y=10 के कितने हल हैं?</t>
  </si>
  <si>
    <t>यदि 6x+3y=6xy और 2x+4y=5xy हो, तो y का मान (जहाँ x,y=0):</t>
  </si>
  <si>
    <t>3x−5y=4 और 9x=2y+7 को हल करने के लिए कौन सी विधि उपयुक्त है?</t>
  </si>
  <si>
    <t>विलोपन या प्रतिस्थापन</t>
  </si>
  <si>
    <t>केवल आलेखीय</t>
  </si>
  <si>
    <t>केवल वज्र गुणन</t>
  </si>
  <si>
    <t>यदि 2x+3y=0 और 4x−3y=0 हो, तो x+y का मान:</t>
  </si>
  <si>
    <t>समीकरण y=0 और y=−7 के युग्म के हल हैं:</t>
  </si>
  <si>
    <t>कोई हल नहीं (समान्तर रेखाएँ)</t>
  </si>
  <si>
    <t>अनंत हल</t>
  </si>
  <si>
    <t>समीकरण निकाय 3x+ky=0 तथा 2x+5y=20 के अद्वितीय हल होने के लिए k का मान नहीं होना चाहिए:</t>
  </si>
  <si>
    <t>A और B दोनों</t>
  </si>
  <si>
    <t>दो चर x, y में रैखिक समीकरण ax + by + c = 0 के वास्तविक संख्याओं के समुच्चय में कितने हल होंगे?</t>
  </si>
  <si>
    <t>इनमें से कोई नहीं (अनंत)</t>
  </si>
  <si>
    <t>समीकरण युग्म x + 2y + 5 = 0 तथा -3x - 6y + 1 = 0 के हल हैं:</t>
  </si>
  <si>
    <t>अद्वितीय हल</t>
  </si>
  <si>
    <t>दो चर में दो एकघातीय समीकरणों के ग्राफ यदि प्रतिच्छेदी रेखाएँ हों, तो हलों की संख्या है:</t>
  </si>
  <si>
    <t>सिर्फ एक</t>
  </si>
  <si>
    <t>अनन्त हल</t>
  </si>
  <si>
    <t>रैखिक समीकरण युग्म x + 3y - 4 = 0 तथा 2x - 5y - 1 = 0 है:</t>
  </si>
  <si>
    <t>अविरोधी</t>
  </si>
  <si>
    <t>विरोधी</t>
  </si>
  <si>
    <t>यदि दो चर में दो रैखिक समीकरणों के हल अनन्त हों, तो उनके आलेख होंगे:</t>
  </si>
  <si>
    <t>दो समानांतर रेखाएँ</t>
  </si>
  <si>
    <t>दो प्रतिच्छेदी रेखाएँ</t>
  </si>
  <si>
    <t>दो संपाती रेखाएँ</t>
  </si>
  <si>
    <t>k के किस मान के लिए समीकरण निकाय x + 2y = 3 तथा 5x + ky = 15 के अनन्त हल हैं?</t>
  </si>
  <si>
    <t>एक रैखिक समीकरण का घात होगा:</t>
  </si>
  <si>
    <t>इनमें कोई नहीं</t>
  </si>
  <si>
    <t>युगपत समीकरण 2x + 3y = 5, 4x + 6y = 9 है। निकाय है:</t>
  </si>
  <si>
    <t>अपरिचित रूप से अनेक हल</t>
  </si>
  <si>
    <t>K के किस मान के लिए समीकरण x + 2y = 7 तथा 2x + Ky = 14 संपाती होगा?</t>
  </si>
  <si>
    <t>समीकरण 3x - y = 5 तथा 6x - 2y = k के कोई हल न हो, तो:</t>
  </si>
  <si>
    <t>k = 0</t>
  </si>
  <si>
    <t>k ≠ 0</t>
  </si>
  <si>
    <t>k ≠ 10</t>
  </si>
  <si>
    <t>k = -10</t>
  </si>
  <si>
    <t>दो चर x, y में रैखिक समीकरण ax + by + c = 0 के कितने अधिकतम हल संभव हैं?</t>
  </si>
  <si>
    <t>समीकरण युग्म 2x + 3y = 5 तथा 4x + 6y = 15 का है:</t>
  </si>
  <si>
    <t>यदि रैखिक समीकरण का युग्म असंगत है, तो उसे निरूपित करने वाली रेखाएँ होंगी:</t>
  </si>
  <si>
    <t>सदैव संपाती</t>
  </si>
  <si>
    <t>सदैव प्रतिच्छेदी</t>
  </si>
  <si>
    <t>प्रतिच्छेदी अथवा संपाती</t>
  </si>
  <si>
    <t>2x + 3y = 11 और 2x - 4y = -24 के हल हैं:</t>
  </si>
  <si>
    <t>x = 2, y = 4</t>
  </si>
  <si>
    <t>x = -2, y = -5</t>
  </si>
  <si>
    <t>x = -3, y = 1</t>
  </si>
  <si>
    <t>x = -2, y = 5</t>
  </si>
  <si>
    <t>k के किस मान के लिए समीकरण निकाय 4x + ky = 6, 2x - 4y = 3 के अनगिनत हल होंगे?</t>
  </si>
  <si>
    <t>समीकरण निकाय 5x - 3y + 2 = 0 और 6x + y - 2 = 0 का किस प्रकार का हल सम्भव है?</t>
  </si>
  <si>
    <t>वास्तविक एवं अद्वितीय</t>
  </si>
  <si>
    <t>हल संभव नहीं</t>
  </si>
  <si>
    <t>समीकरण निकाय 2x + ay = 1 और 3x - 5y = 7 में अचर a के किस मान के लिए एक अद्वितीय हल होंगे?</t>
  </si>
  <si>
    <t>a = 10/3</t>
  </si>
  <si>
    <t>a ≠ -10/3</t>
  </si>
  <si>
    <t>a = 10</t>
  </si>
  <si>
    <t>a ≠ 10</t>
  </si>
  <si>
    <t>समीकरण निकाय a₁x + b₁y + c₁= 0 और a₂x + b₂y + c₂ = 0 का अद्वितीय हल होगा, जब:</t>
  </si>
  <si>
    <t>a₁/a₂ = b₁/b₂</t>
  </si>
  <si>
    <t>a₁/a₂ = c₁/c₂</t>
  </si>
  <si>
    <t>a₁/a₂ ≠ b₁/b₂</t>
  </si>
  <si>
    <t>a₁/a₂ ≠ c₁/c₂</t>
  </si>
  <si>
    <t>समीकरण x + 2y = 9 में यदि x = 5 हो, तो y का मान क्या होगा?</t>
  </si>
  <si>
    <t>जब दो चर वाले समीकरणों का आलेख संपाती होता है तब उनके हल होंगे:</t>
  </si>
  <si>
    <t>तीन</t>
  </si>
  <si>
    <t>यदि रैखिक समीकरणों के आलेख एक बिन्दु पर काटें तो समीकरण निकाय निम्नांकित में से किस प्रकार का होगा?</t>
  </si>
  <si>
    <t>युग्म समीकरण a₁x + b₁y = c₁ और a₂x + b₂y = c₂ अनंत हल होंगे, यदि:</t>
  </si>
  <si>
    <t>a₁/a₂ = b₁/b₂ ≠ c₁/c₂</t>
  </si>
  <si>
    <t>a₁/a₂ ≠ b₁/b₂ = c₁/c₂</t>
  </si>
  <si>
    <t>a₁/a₂ = b₁/b₂ = c₁/c₂</t>
  </si>
  <si>
    <t>यदि समीकरण x - 2y = 3 तथा 3x + ky = 1 का एक अद्वितीय हल हो, तो:</t>
  </si>
  <si>
    <t>‘k’ के किस मान के लिए रैखिक समीकरण युग्म 2x - 3y = 0, 2kx + 7y - 5 = 0 का एकमात्र हल x = 1, y = -1 है?</t>
  </si>
  <si>
    <t>निम्न में से कौन x - 2y = 0 तथा 3x + 4y = 10 का हल है?</t>
  </si>
  <si>
    <t>x = 2, y = 1</t>
  </si>
  <si>
    <t>x = 1, y = 1</t>
  </si>
  <si>
    <t>x = 2, y = 2</t>
  </si>
  <si>
    <t>x = 3, y = 1</t>
  </si>
  <si>
    <t>k के किस मान के लिए समीकरण 3x - y = -16, तथा 6x - ky = -16 संपाती रेखाओं को प्रदर्शित करता है?</t>
  </si>
  <si>
    <t>दो रैखिक समीकरणों के आलेख प्रतिच्छेदी रेखाएँ हैं, तब रैखिक समीकरण युग्म का:</t>
  </si>
  <si>
    <t>कोई हल नहीं है</t>
  </si>
  <si>
    <t>एक हल है</t>
  </si>
  <si>
    <t>दो हल है</t>
  </si>
  <si>
    <t>अंततः अनेक हल है</t>
  </si>
  <si>
    <t>दो रैखिक समीकरणों के आलेख समान्तर रेखाएँ हैं, तब रैखिक समीकरण युग्म का:</t>
  </si>
  <si>
    <t>अनगिनत हल है</t>
  </si>
  <si>
    <t>यदि 173x + 197y = 149 और 197x + 173y = 221 तो (x, y) होगा:</t>
  </si>
  <si>
    <t>(3, -2)</t>
  </si>
  <si>
    <t>विरोधी समीकरण युग्म के कितने हल होते हैं?</t>
  </si>
  <si>
    <t>एक भी नहीं</t>
  </si>
  <si>
    <t>एक रैखिक समीकरण युग्म, जिसका कोई हल नहीं होता, क्या कहलाता है?</t>
  </si>
  <si>
    <t>समीकरण x + y = 6 में कितने हल होंगे?</t>
  </si>
  <si>
    <t>यदि इकाई का अंक x तथा दहाई का अंक y हो तो, दो अंकों वाली संख्या होगी:</t>
  </si>
  <si>
    <t>10x + y</t>
  </si>
  <si>
    <t>10y + x</t>
  </si>
  <si>
    <t>x + y</t>
  </si>
  <si>
    <t>x - y</t>
  </si>
  <si>
    <t>यदि 2x + 3y = 12 और 3x - 2y = 5, तब-</t>
  </si>
  <si>
    <t>x = 2, y = 3</t>
  </si>
  <si>
    <t>x = 2, y = -3</t>
  </si>
  <si>
    <t>x = 3, y = 2</t>
  </si>
  <si>
    <t>x = 3, y = -2</t>
  </si>
  <si>
    <t>समीकरण निकाय x - 2y + 9 = 0 और 3x - 6y + 12 = 0 का आलेख दो सरल रेखाएं हैं जो:</t>
  </si>
  <si>
    <t>संपाती हैं</t>
  </si>
  <si>
    <t>समान्तर हैं</t>
  </si>
  <si>
    <t>केवल एक बिन्दु पर प्रतिच्छेद करती हैं</t>
  </si>
  <si>
    <t>यदि रैखिक समीकरणों का युग्म संगत है तब उनके द्वारा निरूपित रेखाएँ कैसी होती है?</t>
  </si>
  <si>
    <t>समांतर</t>
  </si>
  <si>
    <t>हमेशा प्रतिच्छेदी</t>
  </si>
  <si>
    <t>हमेशा संपाती</t>
  </si>
  <si>
    <t>यदि 2x + y = 2x - y = √8 , तो y का मान है:</t>
  </si>
  <si>
    <t>यदि (2k - 1, k) समीकरण 10x - 9y = 12 का हल हो, तो k = _____.</t>
  </si>
  <si>
    <t>रैखिक समीकरण युग्म x + 2y = 5 तथा 3x + 12y = 10 का:</t>
  </si>
  <si>
    <t>एकल हल होगा</t>
  </si>
  <si>
    <t>कोई हल नहीं होगा</t>
  </si>
  <si>
    <t>एक से अधिक हल होगा</t>
  </si>
  <si>
    <t>अनन्त बहुआयामी हल होंगे</t>
  </si>
  <si>
    <t>यदि समीकरण kx - 5y = 2 तथा 6x + 2y = 7 के कोई हल न हो, तो:</t>
  </si>
  <si>
    <t>k = -5</t>
  </si>
  <si>
    <t>k = -15</t>
  </si>
  <si>
    <t>यदि रेखाएँ 5x + ky = 8 तथा 15x + 6y = 40 समानांतर है, तो k का मान होगा:</t>
  </si>
  <si>
    <t>समीकरण युग्म 6x - 9y + 6 = 0 और 18x - 27y + 15 = 0 का:</t>
  </si>
  <si>
    <t>एक और केवल एक हल है</t>
  </si>
  <si>
    <t>अनगिनत हल हैं</t>
  </si>
  <si>
    <t>रैखिक समीकरण y = x का आलेख निम्नलिखित में से किस बिन्दु से होकर गुजरता है?</t>
  </si>
  <si>
    <t>(1, 2)</t>
  </si>
  <si>
    <t>यदि अनुपात a1/a2 ≠ b1/b2 हो, तो रैखिक समीकरण युग्म का हल होता है:</t>
  </si>
  <si>
    <t>यदि 2x + 3y = 7 और kx + 9y = 15 का कोई हल न हो, तो k का मान होगा:</t>
  </si>
  <si>
    <t>आफ़ताब अपनी पुत्री से कहता है, ‘सात वर्ष पूर्व मैं तुमसे सात गुनी आयु का था। अब से 3 वर्ष बाद मैं तुमसे केवल तीन गुनी आयु का रह जाऊँगा।’ यह किस अध्याय का प्रश्न है?</t>
  </si>
  <si>
    <t>समांतर श्रेढ़ी</t>
  </si>
  <si>
    <t>समीकरण s - t = 3 और s/3 + t/2 = 6 को हल करने पर t का मान क्या होगा?</t>
  </si>
  <si>
    <t>यदि समीकरण युग्म संगत है, तो उसका आलेख होगा:</t>
  </si>
  <si>
    <t>प्रतिच्छेदी या संपाती रेखाएँ</t>
  </si>
  <si>
    <t>केवल प्रतिच्छेदी रेखाएँ</t>
  </si>
  <si>
    <t>केवल संपाती रेखाएँ</t>
  </si>
  <si>
    <t>विलोपन विधि में हम क्या करते हैं?</t>
  </si>
  <si>
    <t>एक चर को विलुप्त करते हैं</t>
  </si>
  <si>
    <t>दोनों चरों को जोड़ते हैं</t>
  </si>
  <si>
    <t>केवल x का मान रखते हैं</t>
  </si>
  <si>
    <t>प्रतिस्थापन विधि में हम क्या करते हैं?</t>
  </si>
  <si>
    <t>एक समीकरण से मान निकालकर दूसरे में स्थापित करते हैं</t>
  </si>
  <si>
    <t>दोनों समीकरणों को घटाते हैं</t>
  </si>
  <si>
    <t>गुणांक बराबर करते हैं</t>
  </si>
  <si>
    <t>आलेख खींचते हैं</t>
  </si>
  <si>
    <t>द्विघात समीकरण 2x2+3x−4=0 के शून्यक α तथा β हों, तो α+β का मान होगा:</t>
  </si>
  <si>
    <t>यदि α तथा β द्विघात समीकरण x2+x−2=0 के मूल हों, तो 1/α+1/β का मान होगा:</t>
  </si>
  <si>
    <t>−1/2​</t>
  </si>
  <si>
    <t>द्विघात समीकरण x2+x−1=0 के मूलों की प्रकृति होगी:</t>
  </si>
  <si>
    <t>वास्तविक तथा असमान</t>
  </si>
  <si>
    <t>वास्तविक तथा समान</t>
  </si>
  <si>
    <t>समान</t>
  </si>
  <si>
    <t>वास्तविक नहीं</t>
  </si>
  <si>
    <t>निम्नलिखित में कौन द्विघात समीकरण नहीं है?</t>
  </si>
  <si>
    <t>(x+1)(x−2)=0</t>
  </si>
  <si>
    <t>2x2−7x=0</t>
  </si>
  <si>
    <t>x+3/x=x2</t>
  </si>
  <si>
    <t>x2−9=0</t>
  </si>
  <si>
    <t>,</t>
  </si>
  <si>
    <t>निम्नलिखित में से कौन-सा द्विघात समीकरण है?</t>
  </si>
  <si>
    <t>2x2−3x=(x+1)2</t>
  </si>
  <si>
    <t>x2−2x​+3=0</t>
  </si>
  <si>
    <t>3x2+2=(3−x)2+4</t>
  </si>
  <si>
    <t>x2−1/x2=4</t>
  </si>
  <si>
    <t>किसी द्विघात समीकरण के विवेचक (Discriminant) का मान शून्य से बड़ा होने पर दोनों मूल होंगे:</t>
  </si>
  <si>
    <t>वास्तविक और भिन्न</t>
  </si>
  <si>
    <t>अवास्तविक और भिन्न</t>
  </si>
  <si>
    <t>अवास्तविक और समान</t>
  </si>
  <si>
    <t>द्विघात समीकरण 3x2+2x−1=0 के विवेचक का मान होगा:</t>
  </si>
  <si>
    <t>निम्नलिखित में कौन द्विघात समीकरण है?</t>
  </si>
  <si>
    <t>4x+6=0</t>
  </si>
  <si>
    <t>x2−bx+c=0</t>
  </si>
  <si>
    <t>x(x+3)=x2</t>
  </si>
  <si>
    <t>x2+1/x2=2</t>
  </si>
  <si>
    <t>निम्नलिखित समुच्चयों में किसमें द्विघात समीकरण x2−5=0 के मूल होंगे?</t>
  </si>
  <si>
    <t>पूर्णांक संख्याएँ</t>
  </si>
  <si>
    <t>परिमेय संख्याएँ</t>
  </si>
  <si>
    <t>अपरिमेय संख्याएँ</t>
  </si>
  <si>
    <t>प्राकृत संख्याएँ</t>
  </si>
  <si>
    <t>द्विघात समीकरण x2+5x+4 का विविक्तकर (Discriminant) निम्नलिखित में कौन है?</t>
  </si>
  <si>
    <t>यदि द्विघात समीकरण x2−px+4=0 के मूल बराबर हों तो p=?</t>
  </si>
  <si>
    <t>±3</t>
  </si>
  <si>
    <t>±4</t>
  </si>
  <si>
    <t>द्विघात समीकरण ax2+bx+c=0 के मूल वास्तविक एवं समान हो तो मूल होगा:</t>
  </si>
  <si>
    <t>b/2a</t>
  </si>
  <si>
    <t>−b/2a</t>
  </si>
  <si>
    <t>−2b/a</t>
  </si>
  <si>
    <t>यदि द्विघाती समीकरण ax2−4ax+2a+1=0 का समान मूल हैं, तो a= _____.</t>
  </si>
  <si>
    <t>द्विघात समीकरण −3x2+4x+5=0 के मूलों का योगफल कितना होगा?</t>
  </si>
  <si>
    <t>द्विघात समीकरण ax2+bx−c=0 के मूल वास्तविक और बराबर होने की शर्त क्या है?</t>
  </si>
  <si>
    <t>b2+4ac=0</t>
  </si>
  <si>
    <t>b2−4ac=0</t>
  </si>
  <si>
    <t>b2+4ac=1</t>
  </si>
  <si>
    <t>b2−4ac&lt;0</t>
  </si>
  <si>
    <t>द्विघात समीकरण ax2+bx+c=0 के मूल बराबर हो तो:</t>
  </si>
  <si>
    <t>b2&gt;4ac</t>
  </si>
  <si>
    <t>b2&lt;4ac</t>
  </si>
  <si>
    <t>c2=4ac</t>
  </si>
  <si>
    <t>यदि द्विघात समीकरण ax2+bx+e=0 के लिए b2&lt;4ac हो, तो मूल होंगे:</t>
  </si>
  <si>
    <t>द्विघात समीकरण (3/4)x2−8x−3=0 के विविक्तकर (D) का मान निम्नलिखित में कौन होगा?</t>
  </si>
  <si>
    <t>वह द्विघात समीकरण जिसके मूल 3, -3 हो, निम्नलिखित में कौन-सा होगा?</t>
  </si>
  <si>
    <t>x2−3=0</t>
  </si>
  <si>
    <t>x2+3x−9=0</t>
  </si>
  <si>
    <t>x2−2x+3=0</t>
  </si>
  <si>
    <t>यदि द्विघात समीकरण px2+4x+3=0 के मूल बराबर हों, तो p का मान होगा:</t>
  </si>
  <si>
    <t>K के किस मान के लिए द्विघात समीकरण 9x2+3kx+4=0 के मूल समान हैं?</t>
  </si>
  <si>
    <t>a के जिस मान के लिए समीकरण x2+4x+a=0 के मूल वास्तविक और भिन्न होंगे, वह है:</t>
  </si>
  <si>
    <t>द्विघात समीकरण x2+2x−3=0 के मूलों के योग का मान होगा:</t>
  </si>
  <si>
    <t>द्विघात समीकरण 2x2−4x+3=0 का विवेचक होगा:</t>
  </si>
  <si>
    <t>द्विघात समीकरण (x2+5x−6=0) का घात होगा:</t>
  </si>
  <si>
    <t>यदि x=7+43​​ तो x+1/x=</t>
  </si>
  <si>
    <t>33​x2+10x+3​=0 का विवेचक होगा:</t>
  </si>
  <si>
    <t>k के किस मानों के लिए 4x2−kx+16=0 के मूल बराबर होंगे?</t>
  </si>
  <si>
    <t>16, 16</t>
  </si>
  <si>
    <t>16, -16</t>
  </si>
  <si>
    <t>-16, 0</t>
  </si>
  <si>
    <t>1, 16</t>
  </si>
  <si>
    <t>यदि द्विघात समीकरण bx2+ax+c=0 के मूल समान हैं, तो</t>
  </si>
  <si>
    <t>a2−4ac=0</t>
  </si>
  <si>
    <t>c2−4ab=0</t>
  </si>
  <si>
    <t>a2−4bc=0</t>
  </si>
  <si>
    <t>निम्न में कौन द्विघात समीकरण नहीं है?</t>
  </si>
  <si>
    <t>(x+2)3=x(x2−1)</t>
  </si>
  <si>
    <t>(x+1)2=2(x−3)</t>
  </si>
  <si>
    <t>(x−2)(x+2)=5</t>
  </si>
  <si>
    <t>k के किस मान के लिए समीकरण kx2+4x+1=0 के मूल वास्तविक तथा असमान है :</t>
  </si>
  <si>
    <t>k&lt;4</t>
  </si>
  <si>
    <t>k&gt;4</t>
  </si>
  <si>
    <t>k=4</t>
  </si>
  <si>
    <t>k≥4</t>
  </si>
  <si>
    <t>यदि ax2+bx+c=0 के मूल समान हों तो निम्नलिखित में से कौन सत्य है?</t>
  </si>
  <si>
    <t>b2=±4ac</t>
  </si>
  <si>
    <t>b2=4a</t>
  </si>
  <si>
    <t>विविक्ताकर (D) का सूत्र क्या होता है?</t>
  </si>
  <si>
    <t>(b2±4ac)​/2a</t>
  </si>
  <si>
    <t>(b2−4ac)​</t>
  </si>
  <si>
    <t>b2−4ac</t>
  </si>
  <si>
    <t>सभी</t>
  </si>
  <si>
    <t>यदि द्विघात समीकरण ax2+bx+c=0 के मूल बराबर हों, तो c का मान होगा:</t>
  </si>
  <si>
    <t>−b2/4a</t>
  </si>
  <si>
    <t>b2/4a</t>
  </si>
  <si>
    <t>द्विघात समीकरण 4y2+4y+1=0 के मूलों का गुणनफल होगा:</t>
  </si>
  <si>
    <t>यदि द्विघात समीकरण 9x2+6kx+4=0 के मूल वास्तविक एवं समान हों तो k का मान होगा:</t>
  </si>
  <si>
    <t>2 या 0</t>
  </si>
  <si>
    <t>-2 या 0</t>
  </si>
  <si>
    <t>2 या -2</t>
  </si>
  <si>
    <t>केवल 0</t>
  </si>
  <si>
    <t>3x−x2=x2+5</t>
  </si>
  <si>
    <t>(x+2)2=2(x2−5)</t>
  </si>
  <si>
    <t>(2​x+3)2=2x2+6</t>
  </si>
  <si>
    <t>(x−1)2=3x2+x−2</t>
  </si>
  <si>
    <t>निम्नलिखित में से किस समीकरण का एक मूल 2 है?</t>
  </si>
  <si>
    <t>x2−4x−21=0</t>
  </si>
  <si>
    <t>x2−4x+5=0</t>
  </si>
  <si>
    <t>x2−2x+1=0</t>
  </si>
  <si>
    <t>2x2−7x+6=0</t>
  </si>
  <si>
    <t>यदि द्विघात समीकरण ax2+bx=c, (a=0) के मूल α और β हों, तो α+β का मान होगा:</t>
  </si>
  <si>
    <t>द्विघात समीकरण x2−15x+50=0 का विविक्तकर होगा:</t>
  </si>
  <si>
    <t>द्विघात समीकरण 4x2+4x+1=0 के मूलों की प्रकृति होगी:</t>
  </si>
  <si>
    <t>वास्तविक और बराबर</t>
  </si>
  <si>
    <t>कोई मूल वास्तविक नहीं</t>
  </si>
  <si>
    <t>समीकरण 7x2−12x+18=0 के मूलों के योग एवं मूलों के गुणनफल का अनुपात होगा:</t>
  </si>
  <si>
    <t>7 : 12</t>
  </si>
  <si>
    <t>7 : 18</t>
  </si>
  <si>
    <t>3 : 2</t>
  </si>
  <si>
    <t>2 : 3</t>
  </si>
  <si>
    <t>यदि समीकरण 3x2−10x+3=0 का एक मूल 1/3 है तो दूसरा मूल होगा:</t>
  </si>
  <si>
    <t>-1/3</t>
  </si>
  <si>
    <t>यदि द्विघात समीकरण (b−c)x2+(c−a)x+(a−b)=0 के मूल समान हों, तो a+c =</t>
  </si>
  <si>
    <t>-b</t>
  </si>
  <si>
    <t>2b</t>
  </si>
  <si>
    <t>-2b</t>
  </si>
  <si>
    <t>यदि समीकरण bx2+ax+c=0 का मूल समान हो, तो c = ?</t>
  </si>
  <si>
    <t>−a2/4b</t>
  </si>
  <si>
    <t>a2/4b</t>
  </si>
  <si>
    <t>a/2b</t>
  </si>
  <si>
    <t>−a/2b</t>
  </si>
  <si>
    <t>यदि द्विघात समीकरण x2−7x+12=0 का एक मूल 3 हो, तो इसका दूसरा मूल होगा:</t>
  </si>
  <si>
    <t>यदि द्विघात समीकरण x2+px+q=0 के मूल p तथा q हो, तो p+q=</t>
  </si>
  <si>
    <t>द्विघात समीकरण 3x2−13x+10=0 का विविक्तकर है:</t>
  </si>
  <si>
    <t>द्विघात समीकरण x(2x+5)=0 के मूलों का गुणनफल है:</t>
  </si>
  <si>
    <t>द्विघात समीकरण का व्यापक रूप (General Form) क्या होता है?</t>
  </si>
  <si>
    <t>ax2+bx+c=0</t>
  </si>
  <si>
    <t>ax3+bx2+c=0</t>
  </si>
  <si>
    <t>ax+b=0</t>
  </si>
  <si>
    <t>निम्नलिखित में से कौन x(2x+3)=x2+1 का सही रूप है?</t>
  </si>
  <si>
    <t>x2+3x−1=0</t>
  </si>
  <si>
    <t>2x2+3x−1=0</t>
  </si>
  <si>
    <t>x2+2x−1=0</t>
  </si>
  <si>
    <t>3x2+x−1=0</t>
  </si>
  <si>
    <t>द्विघात समीकरण को हल करने की कितनी विधियाँ मुख्य रूप से प्रयोग होती हैं?</t>
  </si>
  <si>
    <t>3x2−10x+3=0 का एक मूल 1/3 है, तो दूसरा मूल क्या है?</t>
  </si>
  <si>
    <t>द्विघात समीकरण के कितने हल (मूल) होते हैं?</t>
  </si>
  <si>
    <t>यदि ax2+bx+c=0 के मूल α और β हों, तो α.β (मूलों का गुणनफल) का मान क्या होगा?</t>
  </si>
  <si>
    <t>यदि विवेचक D&lt;0 (ऋणात्मक) हो, तो मूलों की प्रकृति क्या होगी?</t>
  </si>
  <si>
    <t>अवास्तविक (काल्पनिक)</t>
  </si>
  <si>
    <t>श्रीधराचार्य सूत्र (Quadratic Formula) क्या है?</t>
  </si>
  <si>
    <t>x=(−b±b2−4ac​)/2a</t>
  </si>
  <si>
    <t>x=(−b±b2+4ac​)/2a</t>
  </si>
  <si>
    <t>x=(b±b2−4ac​)/2a</t>
  </si>
  <si>
    <t>x=(−b±b2−4ac​)/a</t>
  </si>
  <si>
    <t>यदि (x+2)(x−2)=5 हो, तो x का मान है:</t>
  </si>
  <si>
    <t>द्विघात समीकरण 2x2−5x+3=0 के मूल हैं:</t>
  </si>
  <si>
    <t>1, 3/2</t>
  </si>
  <si>
    <t>-1, -3/2</t>
  </si>
  <si>
    <t>1, -3/2</t>
  </si>
  <si>
    <t>-1, 3/2</t>
  </si>
  <si>
    <t>दो क्रमागत धनात्मक पूर्णांकों का गुणनफल 306 है। यदि छोटा पूर्णांक x हो, तो समीकरण होगा:</t>
  </si>
  <si>
    <t>x(x+1)=306</t>
  </si>
  <si>
    <t>x(x+2)=306</t>
  </si>
  <si>
    <t>x+(x+1)=306</t>
  </si>
  <si>
    <t>x2+x+306=0</t>
  </si>
  <si>
    <t>पूर्ण वर्ग विधि में (x+a)2−b2=0 का उपयोग किस समीकरण को हल करने के लिए किया जा सकता है?</t>
  </si>
  <si>
    <t>रैखिक समीकरण</t>
  </si>
  <si>
    <t>त्रिघात समीकरण</t>
  </si>
  <si>
    <t>यदि द्विघात समीकरण ax2+bx+c=0 के मूल α और β हों, तो α+β का मान है:</t>
  </si>
  <si>
    <t>समीकरण (x+1)2=2(x−3) किस प्रकार का समीकरण है?</t>
  </si>
  <si>
    <t>समीकरण x2−2x=(−2)(3−x) को मानक रूप में लिखने पर प्राप्त होगा:</t>
  </si>
  <si>
    <t>x2−4x+6=0</t>
  </si>
  <si>
    <t>x2+4x+6=0</t>
  </si>
  <si>
    <t>x2−4x−6=0</t>
  </si>
  <si>
    <t>x2+4x−6=0</t>
  </si>
  <si>
    <t>समीकरण (x−2)(x+1)=(x−1)(x+3) की घात क्या है?</t>
  </si>
  <si>
    <t>एक आयताकार भूखंड का क्षेत्रफल 528 m2 है। यदि लंबाई, चौड़ाई के दोगुने से एक अधिक है, तो द्विघात समीकरण होगा:</t>
  </si>
  <si>
    <t>2x2+x−528=0</t>
  </si>
  <si>
    <t>2x2−x−528=0</t>
  </si>
  <si>
    <t>x2+2x−528=0</t>
  </si>
  <si>
    <t>2x2+x+528=0</t>
  </si>
  <si>
    <t>दो क्रमागत धनात्मक पूर्णांकों का गुणनफल 306 है। यदि छोटा पूर्णांक x है, तो समीकरण है:</t>
  </si>
  <si>
    <t>x2+x−306=0</t>
  </si>
  <si>
    <t>x2−x−306=0</t>
  </si>
  <si>
    <t>x2−x+306=0</t>
  </si>
  <si>
    <t>द्विघात समीकरण x2−3x−10=0 के मूल हैं:</t>
  </si>
  <si>
    <t>5, -2</t>
  </si>
  <si>
    <t>-5, 2</t>
  </si>
  <si>
    <t>-5, -2</t>
  </si>
  <si>
    <t>द्विघात समीकरण 2x2+x−6=0 के मूल हैं:</t>
  </si>
  <si>
    <t>2, -3/2</t>
  </si>
  <si>
    <t>-2, 3/2</t>
  </si>
  <si>
    <t>2, 3/2</t>
  </si>
  <si>
    <t>-2, -3/2</t>
  </si>
  <si>
    <t>समीकरण 2​x2+7x+52​=0 के मूल हैं:</t>
  </si>
  <si>
    <t>2​,5/2​</t>
  </si>
  <si>
    <t>−2​,−5/2​</t>
  </si>
  <si>
    <t>2​,−5/2​</t>
  </si>
  <si>
    <t>−2​,5/2​</t>
  </si>
  <si>
    <t>समीकरण 100x2−20x+1=0 के मूल हैं:</t>
  </si>
  <si>
    <t>1/10, 1/10</t>
  </si>
  <si>
    <t>-1/10, -1/10</t>
  </si>
  <si>
    <t>1/10, -1/10</t>
  </si>
  <si>
    <t>ऐसी दो संख्याएँ जिनका योग 27 और गुणनफल 182 हो, वे हैं:</t>
  </si>
  <si>
    <t>12, 15</t>
  </si>
  <si>
    <t>13, 14</t>
  </si>
  <si>
    <t>10, 17</t>
  </si>
  <si>
    <t>11, 16</t>
  </si>
  <si>
    <t>एक समकोण त्रिभुज की ऊँचाई उसके आधार से 7 सेमी कम है। यदि कर्ण 13 सेमी हो, तो अन्य दो भुजाएँ हैं:</t>
  </si>
  <si>
    <t>5 सेमी, 12 सेमी</t>
  </si>
  <si>
    <t>6 सेमी, 13 सेमी</t>
  </si>
  <si>
    <t>7 सेमी, 14 सेमी</t>
  </si>
  <si>
    <t>8 सेमी, 15 सेमी</t>
  </si>
  <si>
    <t>द्विघात समीकरण 2x2−7x+3=0 के विविक्तकर (Discriminant) का मान है:</t>
  </si>
  <si>
    <t>समीकरण 2x2+x−4=0 के मूलों की प्रकृति है:</t>
  </si>
  <si>
    <t>कोई वास्तविक मूल नहीं</t>
  </si>
  <si>
    <t>समीकरण 4x2+43​x+3=0 के मूलों की प्रकृति है:</t>
  </si>
  <si>
    <t>अवास्तविक</t>
  </si>
  <si>
    <t>k का मान ज्ञात करें जिसके लिए 2x2+kx+3=0 के मूल बराबर हों:</t>
  </si>
  <si>
    <t>±26​</t>
  </si>
  <si>
    <t>±6</t>
  </si>
  <si>
    <t>±23​</t>
  </si>
  <si>
    <t>k का मान ज्ञात करें जिसके लिए kx(x−2)+6=0 के मूल बराबर हों:</t>
  </si>
  <si>
    <t>0, 6</t>
  </si>
  <si>
    <t>क्या x2+3x+1=(x−2)2 एक द्विघात समीकरण है?</t>
  </si>
  <si>
    <t>आंशिक रूप से</t>
  </si>
  <si>
    <t>निम्न में से कौन द्विघात समीकरण 3x2−2x+1/3=0 का विविक्तकर है?</t>
  </si>
  <si>
    <t>एक मोटर बोट जिसकी स्थिर जल में चाल 18 km/h है, 24 km धारा के प्रतिकूल जाने में, वही दूरी धारा के अनुकूल जाने की अपेक्षा 1 घंटा अधिक लेती है। धारा की चाल है:</t>
  </si>
  <si>
    <t>5 km/h</t>
  </si>
  <si>
    <t>6 km/h</t>
  </si>
  <si>
    <t>7 km/h</t>
  </si>
  <si>
    <t>8 km/h</t>
  </si>
  <si>
    <t>द्विघात सूत्र (Quadratic Formula) को अन्य किस नाम से जाना जाता है?</t>
  </si>
  <si>
    <t>पाइथागोरस सूत्र</t>
  </si>
  <si>
    <t>श्रीधराचार्य सूत्र</t>
  </si>
  <si>
    <t>थेल्स सूत्र</t>
  </si>
  <si>
    <t>न्यूटन सूत्र</t>
  </si>
  <si>
    <t>यदि b2−4ac&lt;0 हो, तो समीकरण ax2+bx+c=0 के मूल होंगे:</t>
  </si>
  <si>
    <t>वास्तविक</t>
  </si>
  <si>
    <t>समीकरण x2+x+1=0 के मूलों की प्रकृति है:</t>
  </si>
  <si>
    <t>समीकरण x2−18x+81=0 के मूल हैं:</t>
  </si>
  <si>
    <t>-9, -9</t>
  </si>
  <si>
    <t>9, -9</t>
  </si>
  <si>
    <t>81, 1</t>
  </si>
  <si>
    <t>समीकरण 3y2−26​y+2=0 के मूल हैं:</t>
  </si>
  <si>
    <t>2/3​,2/3​</t>
  </si>
  <si>
    <t>−2/3​,−2/3​</t>
  </si>
  <si>
    <t>3/2​,3/2​</t>
  </si>
  <si>
    <t>1,1</t>
  </si>
  <si>
    <t>यदि समीकरण x2+4x+k=0 के मूल वास्तविक हों, तो k का मान होगा:</t>
  </si>
  <si>
    <t>k≤4</t>
  </si>
  <si>
    <t>यदि समीकरण x2−kx+9=0 के मूल समान हों, तो k का मान होगा:</t>
  </si>
  <si>
    <t>±9</t>
  </si>
  <si>
    <t>समीकरण x2−9=0 के मूल हैं:</t>
  </si>
  <si>
    <t>-3, -3</t>
  </si>
  <si>
    <t>समीकरण (x+1)(x−2)=0 के मूल हैं:</t>
  </si>
  <si>
    <t>समीकरण x2−6x=0 के मूल हैं:</t>
  </si>
  <si>
    <t>0, -6</t>
  </si>
  <si>
    <t>-6, 6</t>
  </si>
  <si>
    <t>समीकरण 5x2−20=0 के मूल हैं:</t>
  </si>
  <si>
    <t>0, 4</t>
  </si>
  <si>
    <t>यदि α,β द्विघात बहुपद f(x)=x2−3x+5 के मूल हों, तो 1/α+1/β का मान होगा:</t>
  </si>
  <si>
    <t>द्विघात समीकरण x2+ax+b=0 के मूल बराबर होने की शर्त है:</t>
  </si>
  <si>
    <t>a2=4b</t>
  </si>
  <si>
    <t>a2=b</t>
  </si>
  <si>
    <t>b2=a</t>
  </si>
  <si>
    <t>यदि x=1 समीकरण x2+x+k=0 का एक मूल है, तो k का मान है:</t>
  </si>
  <si>
    <t>समीकरण x2+2x−3=0 के मूलों का योग है:</t>
  </si>
  <si>
    <t>यदि द्विघात समीकरण bx2+ax+c=0 का विविक्तकर (Discriminant) D है, तो D=?</t>
  </si>
  <si>
    <t>a2−4bc</t>
  </si>
  <si>
    <t>a2−4ac</t>
  </si>
  <si>
    <t>समीकरण x2+1=0 के वास्तविक मूलों की संख्या है:</t>
  </si>
  <si>
    <t>द्विघात समीकरण 2x2−4x+3=0 का विविक्तकर होगा:</t>
  </si>
  <si>
    <t>समीकरण x2−9x+20=0 के मूलों के चिह्न होंगे:</t>
  </si>
  <si>
    <t>दोनों धनात्मक</t>
  </si>
  <si>
    <t>दोनों ऋणात्मक</t>
  </si>
  <si>
    <t>एक धनात्मक, एक ऋणात्मक</t>
  </si>
  <si>
    <t>विपरीत चिह्न</t>
  </si>
  <si>
    <t>समीकरण x2+9x+20=0 के मूलों के चिह्न होंगे:</t>
  </si>
  <si>
    <t>बराबर</t>
  </si>
  <si>
    <t>समीकरण x2−x−20=0 के मूलों के चिह्न होंगे:</t>
  </si>
  <si>
    <t>p के किस मान के लिए समीकरण px2−25​px+15=0 के दो मूल समान हैं?</t>
  </si>
  <si>
    <t>यदि द्विघात समीकरण x2−kx+4=0 के मूल वास्तविक नहीं हैं, तो:</t>
  </si>
  <si>
    <t>k&lt;−4</t>
  </si>
  <si>
    <t>−4&lt;k&lt;4</t>
  </si>
  <si>
    <t>k&gt;4 या k&lt;−4</t>
  </si>
  <si>
    <t>वह द्विघात समीकरण जिसके मूल 2 और −2 हैं:</t>
  </si>
  <si>
    <t>x2−2=0</t>
  </si>
  <si>
    <t>x2−4=0</t>
  </si>
  <si>
    <t>x2+4=0</t>
  </si>
  <si>
    <t>x2+2x=0</t>
  </si>
  <si>
    <t>द्विघात समीकरण 4x2+4x+1=0 के मूल हैं:</t>
  </si>
  <si>
    <t>1/2, 1/2</t>
  </si>
  <si>
    <t>-1/2, -1/2</t>
  </si>
  <si>
    <t>1/2, -1/2</t>
  </si>
  <si>
    <t>यदि x2+5x+6=0, तो x के मान हैं:</t>
  </si>
  <si>
    <t>पूर्ण वर्ग विधि से हल करने के लिए x2−5x+6=0 में किस संख्या का वर्ग जोड़ा और घटाया जाएगा?</t>
  </si>
  <si>
    <t>(5/2)2</t>
  </si>
  <si>
    <t>(6/2)2</t>
  </si>
  <si>
    <t>समीकरण 3x2−4x−6=0 का विविक्तकर है:</t>
  </si>
  <si>
    <t>यदि α,β समीकरण x2−5x+6=0 के मूल हैं, तो α2+β2 का मान है:</t>
  </si>
  <si>
    <t>समीकरण x+1/x=3 के मूल हैं:</t>
  </si>
  <si>
    <t>(3±5​)/2</t>
  </si>
  <si>
    <t>(3±13​)/2</t>
  </si>
  <si>
    <t>(3±5​)/3</t>
  </si>
  <si>
    <t>(1±5​)/2</t>
  </si>
  <si>
    <t>दो संख्याओं का अंतर 5 है और उनके व्युत्क्रमों का अंतर 1/10 है, तो संख्याएँ हैं:</t>
  </si>
  <si>
    <t>20, 15</t>
  </si>
  <si>
    <t>एक संख्या और उसके व्युत्क्रम का योग 10/3 है, तो वह संख्या है:</t>
  </si>
  <si>
    <t>3 या 1/3</t>
  </si>
  <si>
    <t>x2−4x+p=0 के मूल भिन्न और वास्तविक होंगे यदि:</t>
  </si>
  <si>
    <t>p&lt;4</t>
  </si>
  <si>
    <t>p&gt;4</t>
  </si>
  <si>
    <t>p=4</t>
  </si>
  <si>
    <t>समीकरण a2p2x2−q2=0 के मूल हैं:</t>
  </si>
  <si>
    <t>±q/ap</t>
  </si>
  <si>
    <t>±ap/q</t>
  </si>
  <si>
    <t>±p/aq</t>
  </si>
  <si>
    <t>±q2/ap</t>
  </si>
  <si>
    <t>यदि 102y=25 हो, तो 10−y का मान है:</t>
  </si>
  <si>
    <t>द्विघात समीकरण 7x2−12x+18=0 के मूलों के योग और गुणनफल का अनुपात है:</t>
  </si>
  <si>
    <t>3:2</t>
  </si>
  <si>
    <t>2:3</t>
  </si>
  <si>
    <t>समीकरण x2−43​x+9=0 के मूल हैं:</t>
  </si>
  <si>
    <t>33​,3​</t>
  </si>
  <si>
    <t>23​,23​</t>
  </si>
  <si>
    <t>33​,33​</t>
  </si>
  <si>
    <t>43​,3​</t>
  </si>
  <si>
    <t>द्विघात समीकरण 2x2−5​x+1=0 के:</t>
  </si>
  <si>
    <t>दो भिन्न वास्तविक मूल हैं</t>
  </si>
  <si>
    <t>दो बराबर वास्तविक मूल हैं</t>
  </si>
  <si>
    <t>कोई वास्तविक मूल नहीं है</t>
  </si>
  <si>
    <t>दो से अधिक मूल हैं</t>
  </si>
  <si>
    <t>x2+5x−(a2+a−6)=0 का एक मूल है:</t>
  </si>
  <si>
    <t>a−2</t>
  </si>
  <si>
    <t>a+3</t>
  </si>
  <si>
    <t>a+2</t>
  </si>
  <si>
    <t>a−3</t>
  </si>
  <si>
    <t>यदि x=1, समीकरण ax2+ax+3=0 और x2+x+b=0 का एक मूल है, तो ab का मान है:</t>
  </si>
  <si>
    <t>समीकरण (x2+1)2−x2=0 के:</t>
  </si>
  <si>
    <t>4 वास्तविक मूल हैं</t>
  </si>
  <si>
    <t>2 वास्तविक मूल हैं</t>
  </si>
  <si>
    <t>1 वास्तविक मूल है</t>
  </si>
  <si>
    <t>समीकरण 2x2−5x+3=0 को हल करने पर x के मान प्राप्त होंगे:</t>
  </si>
  <si>
    <t>यदि द्विघात समीकरण के मूल 1/3 और −1/2 हैं, तो समीकरण है:</t>
  </si>
  <si>
    <t>6x2+x−1=0</t>
  </si>
  <si>
    <t>6x2−x−1=0</t>
  </si>
  <si>
    <t>6x2+x+1=0</t>
  </si>
  <si>
    <t>6x2−x+1=0</t>
  </si>
  <si>
    <t>समीकरण 9x2−6x+1=0 के मूल हैं:</t>
  </si>
  <si>
    <t>1/3, 1/3</t>
  </si>
  <si>
    <t>-1/3, -1/3</t>
  </si>
  <si>
    <t>1/3, -1/3</t>
  </si>
  <si>
    <t>समीकरण y2+3y−18=0 के मूल हैं:</t>
  </si>
  <si>
    <t>-6, 3</t>
  </si>
  <si>
    <t>6, -3</t>
  </si>
  <si>
    <t>-6, -3</t>
  </si>
  <si>
    <t>यदि x2−px+1=0 के मूल वास्तविक हैं, तो:</t>
  </si>
  <si>
    <t>p≥2 या p≤−2</t>
  </si>
  <si>
    <t>p&lt;2</t>
  </si>
  <si>
    <t>p&gt;−2</t>
  </si>
  <si>
    <t>−2&lt;p&lt;2</t>
  </si>
  <si>
    <t>समीकरण x2−x−12=0 के मूल हैं:</t>
  </si>
  <si>
    <t>4, -3</t>
  </si>
  <si>
    <t>-4, 3</t>
  </si>
  <si>
    <t>-4, -3</t>
  </si>
  <si>
    <t>समीकरण 2x2−9x+10=0 के मूल हैं:</t>
  </si>
  <si>
    <t>2, 5/2</t>
  </si>
  <si>
    <t>-2, -5/2</t>
  </si>
  <si>
    <t>2, -5/2</t>
  </si>
  <si>
    <t>-2, 5/2</t>
  </si>
  <si>
    <t>एक प्राकृत संख्या और उसके वर्ग का योग 156 है, तो संख्या है:</t>
  </si>
  <si>
    <t>समीकरण x2=16 के मूल हैं:</t>
  </si>
  <si>
    <t>x2+2x+1=0 के विविक्तकर का मान है:</t>
  </si>
  <si>
    <t>द्विघात समीकरण 3x2−18x+6=0 के मूलों का योग है:</t>
  </si>
  <si>
    <t>यदि α,β समीकरण x2+x+1=0 के मूल हैं, तो α3+β3 का मान है:</t>
  </si>
  <si>
    <t>x2−bx+c=0 के मूलों का अंतर 2 है, तो:</t>
  </si>
  <si>
    <t>b2−4c=4</t>
  </si>
  <si>
    <t>b2−4c=0</t>
  </si>
  <si>
    <t>b2−4c=2</t>
  </si>
  <si>
    <t>b2+4c=4</t>
  </si>
  <si>
    <t>x2−4x+1=0 के मूल हैं:</t>
  </si>
  <si>
    <t>2±3​</t>
  </si>
  <si>
    <t>2±5​</t>
  </si>
  <si>
    <t>4±3​</t>
  </si>
  <si>
    <t>4±5​</t>
  </si>
  <si>
    <t>x2+5x=0 के मूल हैं:</t>
  </si>
  <si>
    <t>0, -5</t>
  </si>
  <si>
    <t>0, 5</t>
  </si>
  <si>
    <t>-5, 5</t>
  </si>
  <si>
    <t>(x+3)(2x−1)=0 का हल समुच्चय है:</t>
  </si>
  <si>
    <t>{−3,1/2}</t>
  </si>
  <si>
    <t>{3,−1/2}</t>
  </si>
  <si>
    <t>{−3,−1/2}</t>
  </si>
  <si>
    <t>{3,1/2}</t>
  </si>
  <si>
    <t>द्विघात समीकरण x2−11x+30=0 के मूल हैं:</t>
  </si>
  <si>
    <t>-5, -6</t>
  </si>
  <si>
    <t>5, -6</t>
  </si>
  <si>
    <t>-5, 6</t>
  </si>
  <si>
    <t>समीकरण 4−11x=3x2 का मानक रूप है:</t>
  </si>
  <si>
    <t>3x2+11x−4=0</t>
  </si>
  <si>
    <t>3x2−11x+4=0</t>
  </si>
  <si>
    <t>3x2+11x+4=0</t>
  </si>
  <si>
    <t>3x2−11x−4=0</t>
  </si>
  <si>
    <t>यदि D&gt;0 हो, तो मूल होंगे:</t>
  </si>
  <si>
    <t>यदि D=0 हो, तो मूल होंगे:</t>
  </si>
  <si>
    <t>समीकरण 5x2−8x−4=0 का विविक्तकर है:</t>
  </si>
  <si>
    <t>x2−25=0 के मूल हैं:</t>
  </si>
  <si>
    <t>5, -5</t>
  </si>
  <si>
    <t>-5, -5</t>
  </si>
  <si>
    <t>समीकरण x2+x−20=0 के गुणनखंड हैं:</t>
  </si>
  <si>
    <t>(x+5)(x−4)</t>
  </si>
  <si>
    <t>(x−5)(x+4)</t>
  </si>
  <si>
    <t>(x−5)(x−4)</t>
  </si>
  <si>
    <t>(x+5)(x+4)</t>
  </si>
  <si>
    <t>किसी संख्या और उसके व्युत्क्रम का योग 2 है, तो संख्या है:</t>
  </si>
  <si>
    <t>द्विघात समीकरण x2−43​x+9=0 के मूल समान हैं?</t>
  </si>
  <si>
    <t>D&lt;0 है</t>
  </si>
  <si>
    <t>समीकरण 2x2+kx+2=0 के मूल वास्तविक और बराबर होंगे यदि k=:</t>
  </si>
  <si>
    <t>समीकरण x2+4x=0 के मूल हैं:</t>
  </si>
  <si>
    <t>0, -4</t>
  </si>
  <si>
    <t>यदि द्विघात समीकरण ax2+bx+c=0 का एक मूल शून्य है, तो:</t>
  </si>
  <si>
    <t>c=0</t>
  </si>
  <si>
    <t>b=0</t>
  </si>
  <si>
    <t>a=0</t>
  </si>
  <si>
    <t>c=0</t>
  </si>
  <si>
    <t>समीकरण x2−10x+21=0 के मूल हैं:</t>
  </si>
  <si>
    <t>-3, -7</t>
  </si>
  <si>
    <t>3, -7</t>
  </si>
  <si>
    <t>-3, 7</t>
  </si>
  <si>
    <t>3x2−2x−1=0 के मूल हैं:</t>
  </si>
  <si>
    <t>1, -1/3</t>
  </si>
  <si>
    <t>-1, 1/3</t>
  </si>
  <si>
    <t>1, 1/3</t>
  </si>
  <si>
    <t>-1, -1/3</t>
  </si>
  <si>
    <t>वह समीकरण जिसके मूल 1/α और 1/β हैं (जहाँ α,β समीकरण ax2+bx+c=0 के मूल हैं):</t>
  </si>
  <si>
    <t>cx2+bx+a=0</t>
  </si>
  <si>
    <t>ax2−bx+c=0</t>
  </si>
  <si>
    <t>cx2−bx+a=0</t>
  </si>
  <si>
    <t>bx2+ax+c=0</t>
  </si>
  <si>
    <t>(x+2)3=2x(x2−1) है:</t>
  </si>
  <si>
    <t>समीकरण x2+1=0 के हल किस समुच्चय में हैं?</t>
  </si>
  <si>
    <t>सम्मिश्र संख्याएँ</t>
  </si>
  <si>
    <t>यदि α,β समीकरण 4x2+3x+7=0 के मूल हैं, तो 1/α+1/β का मान है:</t>
  </si>
  <si>
    <t>-3/7</t>
  </si>
  <si>
    <t>समीकरण x2−3x−28=0 के मूल हैं:</t>
  </si>
  <si>
    <t>7, -4</t>
  </si>
  <si>
    <t>-7, 4</t>
  </si>
  <si>
    <t>-7, -4</t>
  </si>
  <si>
    <t>यदि किसी वर्ग का क्षेत्रफल 400m2 है, तो उसकी भुजा है:</t>
  </si>
  <si>
    <t>20 m</t>
  </si>
  <si>
    <t>40 m</t>
  </si>
  <si>
    <t>100 m</t>
  </si>
  <si>
    <t>200 m</t>
  </si>
  <si>
    <t>समीकरण 6x2−x−2=0 के गुणनखंड हैं:</t>
  </si>
  <si>
    <t>(3x−2)(2x+1)</t>
  </si>
  <si>
    <t>(3x+2)(2x−1)</t>
  </si>
  <si>
    <t>(6x+1)(x−2)</t>
  </si>
  <si>
    <t>(6x−1)(x+2)</t>
  </si>
  <si>
    <t>Math</t>
  </si>
  <si>
    <t>समांतर श्रेढ़ी</t>
  </si>
  <si>
    <t>निम्न में से कौन समांतर श्रेढ़ी (A.P.) में है?</t>
  </si>
  <si>
    <t>0.2, 0.22, 0.222...</t>
  </si>
  <si>
    <t>1, 11, 111...</t>
  </si>
  <si>
    <t>2, 4, 8, 16...</t>
  </si>
  <si>
    <t>-10, -6, -2, 2...</t>
  </si>
  <si>
    <t>A.P.: 10, 7, 4, ... का 30वाँ पद है:</t>
  </si>
  <si>
    <t>A.P.: -3, -1/2, 2, ... का 11वाँ पद है:</t>
  </si>
  <si>
    <t>-48 1/2</t>
  </si>
  <si>
    <t>समांतर श्रेढ़ी 12, 10, 8, ... का कौन-सा पद 0 है?</t>
  </si>
  <si>
    <t>7वाँ</t>
  </si>
  <si>
    <t>8वाँ</t>
  </si>
  <si>
    <t>9वाँ</t>
  </si>
  <si>
    <t>10वाँ</t>
  </si>
  <si>
    <t>समांतर श्रेढ़ी -5, -1, 3, 7, ... का सार्व अंतर (d) क्या है?</t>
  </si>
  <si>
    <t>यदि किसी समांतर श्रेढ़ी का प्रथम पद 'a' और सार्व अंतर 'd' हो, तो 'n' पदों का योगफल होगा:</t>
  </si>
  <si>
    <t>n{2a + (n-1)d}</t>
  </si>
  <si>
    <t>n/2 {2a + (n-1)d}</t>
  </si>
  <si>
    <t>{2a + (n-1)d}</t>
  </si>
  <si>
    <t>n/2 {a + (n-1)d}</t>
  </si>
  <si>
    <t>यदि समांतर श्रेढ़ी का nवाँ पद tn​=3−4n है, तो इसका 7वाँ पद क्या होगा? (स्रोतों के पैटर्न पर आधारित)</t>
  </si>
  <si>
    <t>यदि समांतर श्रेढ़ी का सामान्य पद (17 - 5n) है, तो इसका सार्व अंतर क्या होगा?</t>
  </si>
  <si>
    <t>प्रथम 'n' विषम प्राकृत संख्याओं का योगफल है:</t>
  </si>
  <si>
    <t>n - 1</t>
  </si>
  <si>
    <t>n + 1</t>
  </si>
  <si>
    <t>2n - 1</t>
  </si>
  <si>
    <t>n2</t>
  </si>
  <si>
    <t>यदि 18, x, y, -3 समांतर श्रेढ़ी में हैं, तो x + y का मान है:</t>
  </si>
  <si>
    <t>A.P.: 3, 8, 13, 18, ... का कौन-सा पद 78 है?</t>
  </si>
  <si>
    <t>12वाँ</t>
  </si>
  <si>
    <t>13वाँ</t>
  </si>
  <si>
    <t>15वाँ</t>
  </si>
  <si>
    <t>16वाँ</t>
  </si>
  <si>
    <t>यदि 2x - 1, 3x + 2, और 6x - 1 समांतर श्रेढ़ी में हों, तो x का मान ज्ञात करें।</t>
  </si>
  <si>
    <t>समांतर श्रेढ़ी 2, 7, 12, ... का 10वाँ पद ज्ञात करें।</t>
  </si>
  <si>
    <t>0 और 50 के बीच की विषम संख्याओं का योगफल ज्ञात करें।</t>
  </si>
  <si>
    <t>समांतर श्रेढ़ी 8, 3, -2, ... के प्रथम 22 पदों का योग ज्ञात करें।</t>
  </si>
  <si>
    <t>वह A.P. ज्ञात कीजिए जिसका तीसरा पद 5 और सातवाँ पद 9 है।</t>
  </si>
  <si>
    <t>3, 4, 5, 6...</t>
  </si>
  <si>
    <t>2, 4, 6, 8...</t>
  </si>
  <si>
    <t>1, 3, 5, 7...</t>
  </si>
  <si>
    <t>3, 5, 7, 9...</t>
  </si>
  <si>
    <t>दो अंकों वाली कितनी संख्याएँ 3 से विभाज्य हैं? (स्रोत 10 के पैटर्न पर)</t>
  </si>
  <si>
    <t>समांतर श्रेढ़ी: 3, 8, 13, ..., 253 में अंतिम पद से 20वाँ पद ज्ञात कीजिए।</t>
  </si>
  <si>
    <t>यदि किसी A.P. के तीसरे और नौवें पद क्रमशः 4 और -8 हैं, तो इसका कौन-सा पद शून्य होगा?</t>
  </si>
  <si>
    <t>4वाँ</t>
  </si>
  <si>
    <t>5वाँ</t>
  </si>
  <si>
    <t>6वाँ</t>
  </si>
  <si>
    <t>यदि किसी A.P. का 17वाँ पद उसके 10वें पद से 7 अधिक है, तो सार्व अंतर ज्ञात कीजिए।</t>
  </si>
  <si>
    <t>समांतर श्रेढ़ी 4, 10, 16, 22, ... का सार्व अंतर (d) क्या है?</t>
  </si>
  <si>
    <t>यदि A.P. का प्रथम पद 6 और सार्व अंतर 3 हो, तो A.P. होगी:</t>
  </si>
  <si>
    <t>6, 9, 12...</t>
  </si>
  <si>
    <t>6, 8, 10...</t>
  </si>
  <si>
    <t>3, 6, 9...</t>
  </si>
  <si>
    <t>6, 3, 0...</t>
  </si>
  <si>
    <t>A.P.: 14, 9, 4, -1, -6 ... का 12वाँ पद है:</t>
  </si>
  <si>
    <t>यदि समांतर श्रेढ़ी का सामान्य पद 6−2n है, तो इसका सार्व अंतर होगा:</t>
  </si>
  <si>
    <t>प्रथम 10 विषम प्राकृत संख्याओं का योगफल क्या होगा? (सूत्र: n2)</t>
  </si>
  <si>
    <t>यदि p−1,p+3,3p−1 समांतर श्रेढ़ी में हों, तो p का मान ज्ञात करें।</t>
  </si>
  <si>
    <t>समांतर श्रेढ़ी: 2, 7, 12, ... का 10वाँ पद क्या है?</t>
  </si>
  <si>
    <t>1 से 100 तक सभी प्राकृत संख्याओं का योगफल है: (सूत्र: 2n(n+1)​)</t>
  </si>
  <si>
    <t>A.P. 5, 8, 11, 14, ... का कौन-सा पद 32 है?</t>
  </si>
  <si>
    <t>11वाँ</t>
  </si>
  <si>
    <t>यदि किसी A.P. का nवाँ पद tn​=2n+5 हो, तो t4​ का मान क्या होगा?</t>
  </si>
  <si>
    <t>समांतर श्रेढ़ी 0.6, 1.7, 2.8, ... का सार्व अंतर है:</t>
  </si>
  <si>
    <t>यदि x,x+2,x+4 समांतर श्रेढ़ी में हैं, तो x का मान होगा:</t>
  </si>
  <si>
    <t>कोई भी मान</t>
  </si>
  <si>
    <t>8 के प्रथम 15 गुणजों का योगफल ज्ञात करें।</t>
  </si>
  <si>
    <t>A.P.: 21, 18, 15, ... का कौन-सा पद -81 है?</t>
  </si>
  <si>
    <t>33वाँ</t>
  </si>
  <si>
    <t>34वाँ</t>
  </si>
  <si>
    <t>35वाँ</t>
  </si>
  <si>
    <t>36वाँ</t>
  </si>
  <si>
    <t>यदि 4/5,a,2 किसी A.P. के तीन क्रमागत पद हैं, तो a का मान है:</t>
  </si>
  <si>
    <t>समांतर श्रेढ़ी 54, 51, 48, ... का 10वाँ पद है:</t>
  </si>
  <si>
    <t>दो अंकों वाली कितनी संख्याएँ 3 से विभाज्य हैं?</t>
  </si>
  <si>
    <t>यदि किसी A.P. का 6ठा और 12वाँ पद क्रमशः 13 और 25 है, तो इसका 20वाँ पद है:</t>
  </si>
  <si>
    <t>A.P. 72, 63, 54, ... का कौन सा पद शून्य (0) है?</t>
  </si>
  <si>
    <t>यदि a,b,c समांतर श्रेढ़ी में हैं, तो b= ?</t>
  </si>
  <si>
    <t>(a−c)/2</t>
  </si>
  <si>
    <t>(a+c)/2</t>
  </si>
  <si>
    <t>a+c</t>
  </si>
  <si>
    <t>a×c</t>
  </si>
  <si>
    <t>प्रथम 200 प्राकृत संख्याओं का योग है:</t>
  </si>
  <si>
    <t>107 और 253 के बीच 5 से विभाज्य संख्याओं की संख्या है:</t>
  </si>
  <si>
    <t>यदि किसी A.P. का सार्व अंतर 5 है, तो t18​−t13​ का मान क्या होगा? (ट्रिक: 5d)</t>
  </si>
  <si>
    <t>समांतर श्रेढ़ी 2​,8​,18​,32​,... का सार्व अंतर है:</t>
  </si>
  <si>
    <t>22​</t>
  </si>
  <si>
    <t>यदि tn​ किसी A.P. का nवाँ पद है और t2​=13,t5​=25, तो सार्व अंतर ज्ञात करें।</t>
  </si>
  <si>
    <t>अनुक्रम 5, 7, 9, 11, ... का कौन सा पद 27 है?</t>
  </si>
  <si>
    <t>यदि Sn​=3n2+n, तो A.P. का दूसरा पद क्या होगा?</t>
  </si>
  <si>
    <t>A.P. -10, -6, -2, 2, ... का 20वाँ पद है:</t>
  </si>
  <si>
    <t>यदि k,2k−1,2k+1 समांतर श्रेढ़ी में हैं, तो k का मान है:</t>
  </si>
  <si>
    <t>प्रथम n सम प्राकृत संख्याओं का योगफल होता है:</t>
  </si>
  <si>
    <t>n(n+1)</t>
  </si>
  <si>
    <t>n(n−1)</t>
  </si>
  <si>
    <t>2n</t>
  </si>
  <si>
    <t>A.P. 8, 3, -2, ... के प्रथम 22 पदों का योग है:</t>
  </si>
  <si>
    <t>समांतर श्रेढ़ी 25, 20, 15, ... का कौन सा पद प्रथम ऋणात्मक पद होगा?</t>
  </si>
  <si>
    <t>यदि किसी A.P. का प्रथम पद 5 और अंतिम पद 45 है तथा योग 400 है, तो पदों की संख्या (n) है:</t>
  </si>
  <si>
    <t>3 के प्रथम 5 गुणजों का योग है:</t>
  </si>
  <si>
    <t>यदि A.P. का nवाँ पद 5n−3 है, तो दूसरा पद क्या होगा?</t>
  </si>
  <si>
    <t>3​,12​,27​,... का अगला पद है:</t>
  </si>
  <si>
    <t>48​</t>
  </si>
  <si>
    <t>50​</t>
  </si>
  <si>
    <t>45​</t>
  </si>
  <si>
    <t>यदि a=2 और d=8, तो S10​ (10 पदों का योग) क्या होगा?</t>
  </si>
  <si>
    <t>A.P. 13, 19, ..., 205 में पदों की संख्या कितनी है?</t>
  </si>
  <si>
    <t>किसी A.P. के प्रथम पद 2 और सार्व अंतर 3 है, तो 5वाँ पद है:</t>
  </si>
  <si>
    <t>यदि A.P. का 17वाँ पद 10वें पद से 14 अधिक है, तो सार्व अंतर है:</t>
  </si>
  <si>
    <t>निम्न में कौन A.P. नहीं है?</t>
  </si>
  <si>
    <t>2, 4, 6, 8</t>
  </si>
  <si>
    <t>1, 3, 9, 27</t>
  </si>
  <si>
    <t>5, 10, 15, 20</t>
  </si>
  <si>
    <t>-10, -6, -2, 2</t>
  </si>
  <si>
    <t>A.P. 10, 6, 2, ... के प्रथम 16 पदों का योग है:</t>
  </si>
  <si>
    <t>यदि A.P. का pवाँ पद q और qवाँ पद p है, तो (p+q)वाँ पद होगा:</t>
  </si>
  <si>
    <t>p+q</t>
  </si>
  <si>
    <t>p−q</t>
  </si>
  <si>
    <t>4 और 50 के बीच 4 के कितने गुणज हैं?</t>
  </si>
  <si>
    <t>यदि 2x,x+10,3x+2 समांतर श्रेढ़ी में हैं, तो x का मान है:</t>
  </si>
  <si>
    <t>1+3+5+...+19 का योगफल होगा?</t>
  </si>
  <si>
    <t>किसी A.P. के तीन क्रमागत पदों का योग 24 है और उनके वर्गों का योग 200 है, तो वे संख्याएं हैं:</t>
  </si>
  <si>
    <t>A.P. 3, 10, 17, ... का nवाँ पद होगा:</t>
  </si>
  <si>
    <t>7n−4</t>
  </si>
  <si>
    <t>7n+4</t>
  </si>
  <si>
    <t>7n−3</t>
  </si>
  <si>
    <t>3n+7</t>
  </si>
  <si>
    <t>यदि a,b,c A.P. में हैं, तो a−b बराबर है:</t>
  </si>
  <si>
    <t>b−c</t>
  </si>
  <si>
    <t>c−b</t>
  </si>
  <si>
    <t>a−c</t>
  </si>
  <si>
    <t>विषम संख्याओं के A.P. का सार्व अंतर हमेशा होता है:</t>
  </si>
  <si>
    <t>यदि A.P. का पहला पद 2 और nवाँ पद 20 है, और Sn​=110, तो n का मान है:</t>
  </si>
  <si>
    <t>A.P. 80, 76, 72, 68... का कौन सा पद 0 है?</t>
  </si>
  <si>
    <t>20वाँ</t>
  </si>
  <si>
    <t>21वाँ</t>
  </si>
  <si>
    <t>22वाँ</t>
  </si>
  <si>
    <t>19वाँ</t>
  </si>
  <si>
    <t>23​,21​,−21​,−23​,... का सार्व अंतर है:</t>
  </si>
  <si>
    <t>यदि 18,a,b,−3 A.P. में हैं, तो 2a−b का मान है:</t>
  </si>
  <si>
    <t>एक A.P. में a=7,d=3,n=8 है, तो an​ ज्ञात करें।</t>
  </si>
  <si>
    <t>A.P. 3, 15, 27, 39... का कौन सा पद 54वें पद से 132 अधिक होगा?</t>
  </si>
  <si>
    <t>64वाँ</t>
  </si>
  <si>
    <t>65वाँ</t>
  </si>
  <si>
    <t>66वाँ</t>
  </si>
  <si>
    <t>67वाँ</t>
  </si>
  <si>
    <t>यदि किसी A.P. का 7वाँ पद 4 और सार्व अंतर -4 है, तो प्रथम पद क्या है?</t>
  </si>
  <si>
    <t>0 और 50 के बीच कितनी विषम संख्याएँ हैं?</t>
  </si>
  <si>
    <t>Sn​=n(4n+1) हो, तो A.P. का सार्व अंतर क्या होगा?</t>
  </si>
  <si>
    <t>यदि x+21​,x+31​,x+51​ A.P. में हैं, तो x=?</t>
  </si>
  <si>
    <t>A.P. 10, 12, 14, 16... का 50वाँ पद है:</t>
  </si>
  <si>
    <t>6, 13, 20, ..., 216 का मध्य पद (Middle term) क्या है?</t>
  </si>
  <si>
    <t>50 विषम संख्याओं का योग क्या होगा?</t>
  </si>
  <si>
    <t>यदि A.P. का प्रथम पद a है और पदांतर d है, तो nवाँ पद होगा:</t>
  </si>
  <si>
    <t>a+nd</t>
  </si>
  <si>
    <t>a+(n−1)d</t>
  </si>
  <si>
    <t>a+n−1</t>
  </si>
  <si>
    <t>a+d−1</t>
  </si>
  <si>
    <t>100 से 200 के बीच कितनी संख्याएं 3 से विभाज्य हैं?</t>
  </si>
  <si>
    <t>यदि 5,k,11 A.P. में हैं, तो k2+1 का मान होगा:</t>
  </si>
  <si>
    <t>A.P. 5, 12, 19, ... का 50वाँ पद उसके 20वें पद से कितना अधिक है?</t>
  </si>
  <si>
    <t>यदि A.P. के n पदों का योग n है, तो S1​ (पहला पद) क्या होगा?</t>
  </si>
  <si>
    <t>A.P. 9, 17, 25, ... के कितने पदों का योग 636 होगा?</t>
  </si>
  <si>
    <t>यदि a,b,c A.P. में हैं और a+b+c=30, तो b (मध्य पद) का मान है:</t>
  </si>
  <si>
    <t>A.P. 2, 2, 2, 2... का सार्व अंतर क्या है?</t>
  </si>
  <si>
    <t>यदि an​=3n+7, तो a5​ का मान होगा:</t>
  </si>
  <si>
    <t>A.P. -40, -15, 10, 35... का 10वाँ पद है:</t>
  </si>
  <si>
    <t>किसी A.P. का अंतिम से 5वाँ पद ज्ञात करें यदि A.P. 3, 5, 7, ..., 201 है।</t>
  </si>
  <si>
    <t>यदि 5, x, y, 26 A.P. में हैं, तो x+y का मान है:</t>
  </si>
  <si>
    <t>A.P. 1, 4, 7, 10... के 18वें पद का मान:</t>
  </si>
  <si>
    <t>दो A.P. का सार्व अंतर समान है। यदि उनके 100वें पदों का अंतर 50 है, तो 1000वें पदों का अंतर क्या होगा?</t>
  </si>
  <si>
    <t>A.P. 7, 13, 19, ..., 205 में पदों की संख्या कितनी है?</t>
  </si>
  <si>
    <t>10,7,4... का 30वाँ पद और 20वें पद का अंतर क्या है?</t>
  </si>
  <si>
    <t>यदि a=3.5,d=0,n=101, तो an​ बराबर है:</t>
  </si>
  <si>
    <t>A.P. 31​,35​,39​,313​,... का सार्व अंतर है:</t>
  </si>
  <si>
    <t>यदि k+2,4k−6,3k−2 क्रमागत पद हैं A.P. के, तो k=?</t>
  </si>
  <si>
    <t>प्रथम 1000 धन पूर्णांकों का योग ज्ञात करें।</t>
  </si>
  <si>
    <t>A.P. में a=5,d=3,an​=50 है, तो n का मान है:</t>
  </si>
  <si>
    <t>यदि A.P. का योग Sn​=5n2+3n है, तो इसका nवाँ पद होगा:</t>
  </si>
  <si>
    <t>10n−2</t>
  </si>
  <si>
    <t>10n+2</t>
  </si>
  <si>
    <t>5n+3</t>
  </si>
  <si>
    <t>10n−5</t>
  </si>
  <si>
    <t>यदि 3 संख्याएं A.P. में हैं जिनका योग 24 और गुणनफल 440 है, तो संख्याएं हैं:</t>
  </si>
  <si>
    <t>-10, -6, -2... का अगला पद है:</t>
  </si>
  <si>
    <t>A.P. 4, 9, 14, ... का कौन सा पद 109 है?</t>
  </si>
  <si>
    <t>23वाँ</t>
  </si>
  <si>
    <t>50 से 100 के बीच कितनी सम संख्याएं हैं?</t>
  </si>
  <si>
    <t>यदि A.P. में S5​+S7​=167 और S10​=235, तो A.P. का प्रथम पद होगा:</t>
  </si>
  <si>
    <t>यदि किसी A.P. में d=−2, n=5, और an​=0 हो, तो a का मान है:</t>
  </si>
  <si>
    <t>1+2+3+...+20 का मान है:</t>
  </si>
  <si>
    <t>यदि x−y,x,x+y A.P. में हैं, तो सार्व अंतर क्या है?</t>
  </si>
  <si>
    <t>y</t>
  </si>
  <si>
    <t>−y</t>
  </si>
  <si>
    <t>2y</t>
  </si>
  <si>
    <t>A.P. 0, -4, -8, -12... का सार्व अंतर क्या है?</t>
  </si>
  <si>
    <t>प्रथम n प्राकृत संख्याओं के योग का सूत्र किसने दिया?</t>
  </si>
  <si>
    <t>गॉस</t>
  </si>
  <si>
    <t>न्यूटन</t>
  </si>
  <si>
    <t>किसी A.P. के प्रथम और अंतिम पद क्रमशः 1 और 11 हैं। यदि इसके पदों का योग 36 है, तो पदों की संख्या होगी:</t>
  </si>
  <si>
    <t>यदि a,7,b,23 A.P. में हैं, तो b का मान है:</t>
  </si>
  <si>
    <t>A.P. 12, 17, 22, 27... का 20वाँ पद है:</t>
  </si>
  <si>
    <t>a,a+d,a+2d का औसत (Mean) क्या है?</t>
  </si>
  <si>
    <t>a+d</t>
  </si>
  <si>
    <t>a+2d</t>
  </si>
  <si>
    <t>d</t>
  </si>
  <si>
    <t>A.P. 2, 5, 8... के प्रथम 10 पदों का योग:</t>
  </si>
  <si>
    <t>(PYQ) यदि किसी समबाहु त्रिभुज की भुजा 'a' है, तो उसकी ऊंचाई क्या होगी?</t>
  </si>
  <si>
    <t>a/2</t>
  </si>
  <si>
    <t>3​a</t>
  </si>
  <si>
    <t>23​​a</t>
  </si>
  <si>
    <t>a2</t>
  </si>
  <si>
    <t>(PYQ) दी गई आकृति में, ΔABC में ∠A=90∘ और AD⊥BC है। यदि BD=9 सेमी और CD=4 सेमी है, तो AD की लंबाई क्या होगी?</t>
  </si>
  <si>
    <t>4 सेमी</t>
  </si>
  <si>
    <t>9 सेमी</t>
  </si>
  <si>
    <t>6 सेमी</t>
  </si>
  <si>
    <t>36 सेमी</t>
  </si>
  <si>
    <t>(PYQ) एक छड़ की लंबाई और उसकी छाया का अनुपात 1:3​ है, तो सूर्य का उन्नयन कोण क्या है?</t>
  </si>
  <si>
    <t>30∘</t>
  </si>
  <si>
    <t>45∘</t>
  </si>
  <si>
    <t>60∘</t>
  </si>
  <si>
    <t>90∘</t>
  </si>
  <si>
    <t>सभी वृत्त होते हैं:</t>
  </si>
  <si>
    <t>सर्वांगसम</t>
  </si>
  <si>
    <t>समरूप</t>
  </si>
  <si>
    <t>सभी वर्ग होते हैं:</t>
  </si>
  <si>
    <t>सभी ________ त्रिभुज समरूप होते हैं।</t>
  </si>
  <si>
    <t>समद्विबाहु</t>
  </si>
  <si>
    <t>समकोण</t>
  </si>
  <si>
    <t>समबाहु</t>
  </si>
  <si>
    <t>विषमबाहु</t>
  </si>
  <si>
    <t>दो समानकोणिक त्रिभुजों में उनकी संगत भुजाओं का अनुपात सदैव समान रहता है। यह कथन किसका है?</t>
  </si>
  <si>
    <t>थेल्स</t>
  </si>
  <si>
    <t>यदि एक रेखा किसी त्रिभुज की दो भुजाओं को एक ही अनुपात में विभाजित करे, तो वह तीसरी भुजा के _______ होती है।</t>
  </si>
  <si>
    <t>लंबवत</t>
  </si>
  <si>
    <t>दो समरूप त्रिभुजों के क्षेत्रफलों का अनुपात उनकी संगत भुजाओं के _______ के अनुपात के बराबर होता है।</t>
  </si>
  <si>
    <t>वर्ग</t>
  </si>
  <si>
    <t>घन</t>
  </si>
  <si>
    <t>वर्गमूल</t>
  </si>
  <si>
    <t>योग</t>
  </si>
  <si>
    <t>यदि दो समरूप त्रिभुजों की भुजाओं का अनुपात 4:9 है, तो उनके क्षेत्रफलों का अनुपात क्या होगा?</t>
  </si>
  <si>
    <t>4:9</t>
  </si>
  <si>
    <t>81:16</t>
  </si>
  <si>
    <t>16:81</t>
  </si>
  <si>
    <t>एक समकोण त्रिभुज में कर्ण का वर्ग शेष दो भुजाओं के वर्गों के _______ के बराबर होता है।</t>
  </si>
  <si>
    <t>अंतर</t>
  </si>
  <si>
    <t>गुणनफल</t>
  </si>
  <si>
    <t>भाग</t>
  </si>
  <si>
    <t>पाइथागोरस प्रमेय का संबंध किस त्रिभुज से है?</t>
  </si>
  <si>
    <t>समबाहु त्रिभुज</t>
  </si>
  <si>
    <t>समकोण त्रिभुज</t>
  </si>
  <si>
    <t>समद्विबाहु त्रिभुज</t>
  </si>
  <si>
    <t>विषमबाहु त्रिभुज</t>
  </si>
  <si>
    <t>यदि किसी त्रिभुज की एक भुजा का वर्ग अन्य दो भुजाओं के वर्गों के योग के बराबर हो, तो पहली भुजा के सामने का कोण कितना होगा?</t>
  </si>
  <si>
    <t>180∘</t>
  </si>
  <si>
    <t>त्रिभुज के तीनों कोणों का योग कितना होता है?</t>
  </si>
  <si>
    <t>270∘</t>
  </si>
  <si>
    <t>360∘</t>
  </si>
  <si>
    <t>यदि ΔABC∼ΔDEF और क्षेत्रफल(ΔABC) : क्षेत्रफल(ΔDEF) = 64 : 121 है, तो संगत भुजाओं का अनुपात क्या होगा?</t>
  </si>
  <si>
    <t>8:11</t>
  </si>
  <si>
    <t>64:121</t>
  </si>
  <si>
    <t>4:5</t>
  </si>
  <si>
    <t>(PYQ) 6 मीटर ऊंचे खंभे की छाया पृथ्वी पर 4 मीटर लंबी है। उसी समय एक मीनार की छाया 28 मीटर लंबी है। मीनार की ऊंचाई ज्ञात करें।</t>
  </si>
  <si>
    <t>28 मीटर</t>
  </si>
  <si>
    <t>42 मीटर</t>
  </si>
  <si>
    <t>48 मीटर</t>
  </si>
  <si>
    <t>56 मीटर</t>
  </si>
  <si>
    <t>ΔABC में, $DE</t>
  </si>
  <si>
    <t>BC$ है। यदि AD/DB=3/5 और AC=5.6 सेमी है, तो AE का मान क्या होगा?</t>
  </si>
  <si>
    <t>2.1 सेमी</t>
  </si>
  <si>
    <t>3.1 सेमी</t>
  </si>
  <si>
    <t>4.2 सेमी</t>
  </si>
  <si>
    <t>समबाहु त्रिभुज का प्रत्येक कोण कितने डिग्री का होता है?</t>
  </si>
  <si>
    <t>यदि किसी त्रिभुज की भुजाएं 3 सेमी, 4 सेमी और 5 सेमी हैं, तो वह त्रिभुज कैसा होगा?</t>
  </si>
  <si>
    <t>न्यूनकोण</t>
  </si>
  <si>
    <t>अधिककोण</t>
  </si>
  <si>
    <t>संभव नहीं</t>
  </si>
  <si>
    <t>त्रिभुज की किन्हीं दो भुजाओं का योग तीसरी भुजा से हमेशा _______ होता है।</t>
  </si>
  <si>
    <t>छोटा</t>
  </si>
  <si>
    <t>बड़ा</t>
  </si>
  <si>
    <t>आधा</t>
  </si>
  <si>
    <t>क्या भुजाएं 3 सेमी, 2 सेमी और 7 सेमी वाला त्रिभुज संभव है?</t>
  </si>
  <si>
    <t>यदि दो आकृतियों के आकार समान हों और आमाप (Size) भी समान हों, तो वे कहलाती हैं:</t>
  </si>
  <si>
    <t>सभी सर्वांगसम आकृतियां _______ होती हैं।</t>
  </si>
  <si>
    <t>असमान</t>
  </si>
  <si>
    <t>(PYQ) यदि ΔABC एक समबाहु त्रिभुज है जिसकी भुजा 2a है, तो इसके शीर्षलंब की लंबाई क्या होगी?</t>
  </si>
  <si>
    <t>23​a</t>
  </si>
  <si>
    <t>3a</t>
  </si>
  <si>
    <t>त्रिभुज के बाह्य कोण का मान किसके बराबर होता है?</t>
  </si>
  <si>
    <t>दोनों अंतः अभिमुख कोणों के योग के</t>
  </si>
  <si>
    <t>आसन्न कोण के</t>
  </si>
  <si>
    <t>180∘ के</t>
  </si>
  <si>
    <t>360∘ के</t>
  </si>
  <si>
    <t>यदि त्रिभुज के कोणों का अनुपात 2:3:5 है, तो सबसे बड़ा कोण कौन सा होगा?</t>
  </si>
  <si>
    <t>36∘</t>
  </si>
  <si>
    <t>54∘</t>
  </si>
  <si>
    <t>100∘</t>
  </si>
  <si>
    <t>वह कोण जो अपने पूरक के बराबर हो, वह है:</t>
  </si>
  <si>
    <t>वह कोण जो अपने संपूरक (Supplementary) के बराबर हो, वह है:</t>
  </si>
  <si>
    <t>135∘</t>
  </si>
  <si>
    <t>यदि $l</t>
  </si>
  <si>
    <t>m$ हो, तो दिए गए चित्र (स्रोत) में x का मान क्या होगा यदि कोण 3x−20∘ और 2x+10∘ संगत हैं?</t>
  </si>
  <si>
    <t>20∘</t>
  </si>
  <si>
    <t>40∘</t>
  </si>
  <si>
    <t>समबाहु त्रिभुज का क्षेत्रफल का सूत्र क्या है?</t>
  </si>
  <si>
    <t>21​×आधार×ऊंचाई</t>
  </si>
  <si>
    <t>43​​×भुजा2</t>
  </si>
  <si>
    <t>भुजा2</t>
  </si>
  <si>
    <t>3​×भुजा</t>
  </si>
  <si>
    <t>दो बहुभुज समरूप होते हैं यदि उनके संगत कोण बराबर हों और उनकी संगत भुजाएँ _______ हों।</t>
  </si>
  <si>
    <t>समानुपाती</t>
  </si>
  <si>
    <t>यदि एक मीनार की छाया की लंबाई उसकी ऊंचाई के बराबर है, तो सूर्य का उन्नयन कोण है?</t>
  </si>
  <si>
    <t>ΔABC और ΔDEF में, यदि ∠A=∠D,∠B=∠E,∠C=∠F है, तो दोनों त्रिभुज कैसे होंगे?</t>
  </si>
  <si>
    <t>(PYQ) दी गई आकृति में यदि $DE</t>
  </si>
  <si>
    <t>BC$ है और AD=4,BD=x−4,AE=8,EC=3x−19, तो x का मान ज्ञात करें।</t>
  </si>
  <si>
    <t>9</t>
  </si>
  <si>
    <t>10</t>
  </si>
  <si>
    <t>11</t>
  </si>
  <si>
    <t>(PYQ) दो खंभे 6 मी और 11 मी ऊंचे हैं और समतल जमीन पर खड़े हैं। यदि उनके पादों के बीच की दूरी 12 मी है, तो उनके ऊपरी सिरों के बीच की दूरी क्या होगी?</t>
  </si>
  <si>
    <t>12 मी</t>
  </si>
  <si>
    <t>13 मी</t>
  </si>
  <si>
    <t>14 मी</t>
  </si>
  <si>
    <t>15 मी</t>
  </si>
  <si>
    <t>चक्रीय चतुर्भुज के सम्मुख कोणों का योग कितना होता है?</t>
  </si>
  <si>
    <t>(PYQ) यदि ΔABC∼ΔPQR और AB/PQ=1/3 है, तो क्षेत्रफल(ΔABC)/क्षेत्रफल(ΔPQR) का मान क्या होगा?</t>
  </si>
  <si>
    <t>1/3</t>
  </si>
  <si>
    <t>3/1</t>
  </si>
  <si>
    <t>9/1</t>
  </si>
  <si>
    <t>यदि दो त्रिभुज सर्वांगसम हैं, तो वे अवश्य ही _______ भी होंगे।</t>
  </si>
  <si>
    <t>अलग आकार के</t>
  </si>
  <si>
    <t>न्यूनकोण त्रिभुज का प्रत्येक कोण कितने डिग्री से कम होता है?</t>
  </si>
  <si>
    <t>(PYQ) 10 मीटर लंबी एक सीढ़ी एक दीवार पर टिकाने पर भूमि से 8 मीटर की ऊंचाई पर स्थित एक खिड़की तक पहुंचती है। दीवार के आधार से सीढ़ी के निचले सिरे की दूरी क्या है?</t>
  </si>
  <si>
    <t>4 मी</t>
  </si>
  <si>
    <t>5 मी</t>
  </si>
  <si>
    <t>6 मी</t>
  </si>
  <si>
    <t>8 मी</t>
  </si>
  <si>
    <t>(PYQ) दो समरूप त्रिभुजों की संगत भुजाएँ 2:3 के अनुपात में हैं, तो उनके परिमाप का अनुपात क्या होगा?</t>
  </si>
  <si>
    <t>9:4</t>
  </si>
  <si>
    <t>थेल्स प्रमेय (BPT) का विलोम क्या कहता है?</t>
  </si>
  <si>
    <t>भुजाएँ समानुपाती हैं</t>
  </si>
  <si>
    <t>रेखा तीसरी भुजा के समांतर है</t>
  </si>
  <si>
    <t>कोण बराबर हैं</t>
  </si>
  <si>
    <t>क्षेत्रफल बराबर हैं</t>
  </si>
  <si>
    <t>ΔABC में यदि $DE</t>
  </si>
  <si>
    <t>BC$ है और AD/DB=2/3 है, तो AE/EC का मान क्या होगा?</t>
  </si>
  <si>
    <t>3/2</t>
  </si>
  <si>
    <t>2/3</t>
  </si>
  <si>
    <t>4/9</t>
  </si>
  <si>
    <t>दो आकृतियाँ जिनके आकार (Shape) समान हों लेकिन आमाप (Size) भिन्न हों, कहलाती हैं:</t>
  </si>
  <si>
    <t>असमरूप</t>
  </si>
  <si>
    <t>एक समबाहु त्रिभुज ΔABC की भुजा 10 सेमी है, तो इसकी ऊँचाई क्या होगी?</t>
  </si>
  <si>
    <t>53​ सेमी</t>
  </si>
  <si>
    <t>103​ सेमी</t>
  </si>
  <si>
    <t>5 सेमी</t>
  </si>
  <si>
    <t>52​ सेमी</t>
  </si>
  <si>
    <t>यदि दो त्रिभुजों के संगत कोण बराबर हों, तो वे त्रिभुज कहलाते हैं:</t>
  </si>
  <si>
    <t>समानकोणिक</t>
  </si>
  <si>
    <t>पाइथागोरस प्रमेय का विलोम सिद्ध करने के लिए हम क्या मानते हैं?</t>
  </si>
  <si>
    <t>कर्ण का वर्ग शेष भुजाओं के योग के बराबर है</t>
  </si>
  <si>
    <t>एक कोण 90 डिग्री नहीं है</t>
  </si>
  <si>
    <t>त्रिभुज समबाहु है</t>
  </si>
  <si>
    <t>(PYQ) यदि ΔABC∼ΔPQR और ∠A=47∘,∠Q=73∘, तो ∠C का मान क्या है?</t>
  </si>
  <si>
    <t>50∘</t>
  </si>
  <si>
    <t>73∘</t>
  </si>
  <si>
    <t>47∘</t>
  </si>
  <si>
    <t>सभी समबाहु त्रिभुज होते हैं:</t>
  </si>
  <si>
    <t>किसी त्रिभुज में दो कोणों का योग तीसरे कोण के बराबर है, यदि दो कोणों का अंतर 30∘ है, तो त्रिभुज के कोण हैं:</t>
  </si>
  <si>
    <t>30∘,60∘,90∘</t>
  </si>
  <si>
    <t>45∘,45∘,90∘</t>
  </si>
  <si>
    <t>60∘,60∘,60∘</t>
  </si>
  <si>
    <t>30∘,75∘,75∘</t>
  </si>
  <si>
    <t>यदि किसी त्रिभुज में AC2=AB2+BC2 हो, तो कौन सा कोण समकोण होगा?</t>
  </si>
  <si>
    <t>∠A</t>
  </si>
  <si>
    <t>∠B</t>
  </si>
  <si>
    <t>∠C</t>
  </si>
  <si>
    <t>एक समद्विबाहु त्रिभुज में कौन सी भुजाएँ बराबर होती हैं?</t>
  </si>
  <si>
    <t>कोई दो</t>
  </si>
  <si>
    <t>तीनों</t>
  </si>
  <si>
    <t>कर्ण और आधार</t>
  </si>
  <si>
    <t>(PYQ) चित्र में यदि $ST</t>
  </si>
  <si>
    <t>QR$ है, और PS=2,SQ=3,PT=4, तो TR का मान क्या होगा?</t>
  </si>
  <si>
    <t>6</t>
  </si>
  <si>
    <t>5</t>
  </si>
  <si>
    <t>8</t>
  </si>
  <si>
    <t>दो समरूप त्रिभुजों के क्षेत्रफल 81 सेमी² और 49 सेमी² हैं। उनकी संगत ऊँचाइयों का अनुपात क्या है?</t>
  </si>
  <si>
    <t>9:7</t>
  </si>
  <si>
    <t>7:9</t>
  </si>
  <si>
    <t>4.5 : 3.5</t>
  </si>
  <si>
    <t>किसी बाह्य बिंदु से वृत्त पर खींची गई स्पर्श रेखाओं की लंबाई होती है:</t>
  </si>
  <si>
    <t>आधी</t>
  </si>
  <si>
    <t>दोगुनी</t>
  </si>
  <si>
    <t>ΔABC में AB=63​ सेमी, AC=12 सेमी और BC=6 सेमी है। ∠B का मान है:</t>
  </si>
  <si>
    <t>120∘</t>
  </si>
  <si>
    <t>यदि दो त्रिभुज सर्वांगसम हैं, तो उनके क्षेत्रफल:</t>
  </si>
  <si>
    <t>बराबर होंगे</t>
  </si>
  <si>
    <t>भिन्न होंगे</t>
  </si>
  <si>
    <t>अनुपात 1:2 होगा</t>
  </si>
  <si>
    <t>पाइथागोरस प्रमेय किस त्रिभुज पर लागू होता है?</t>
  </si>
  <si>
    <t>यदि एक सीढ़ी दीवार से 10 मीटर की दूरी पर है और 10 मीटर ऊँची खिड़की तक पहुँचती है, तो सीढ़ी की लंबाई क्या है?</t>
  </si>
  <si>
    <t>102​ मी</t>
  </si>
  <si>
    <t>10 मी</t>
  </si>
  <si>
    <t>त्रिभुज के केंद्रक (Centroid) प्रत्येक माध्यिका को किस अनुपात में विभाजित करता है?</t>
  </si>
  <si>
    <t>1:1</t>
  </si>
  <si>
    <t>2:1</t>
  </si>
  <si>
    <t>3:1</t>
  </si>
  <si>
    <t>1:2</t>
  </si>
  <si>
    <t>समबाहु त्रिभुज का प्रत्येक कोण होता है:</t>
  </si>
  <si>
    <t>(PYQ) यदि ΔABC∼ΔDEF, BC=3 सेमी, EF=4 सेमी और ΔABC का क्षेत्रफल 54 सेमी² है, तो ΔDEF का क्षेत्रफल क्या होगा?</t>
  </si>
  <si>
    <t>96 सेमी²</t>
  </si>
  <si>
    <t>72 सेमी²</t>
  </si>
  <si>
    <t>48 सेमी²</t>
  </si>
  <si>
    <t>108 सेमी²</t>
  </si>
  <si>
    <t>चक्रीय चतुर्भुज के चारों शीर्ष कहाँ स्थित होते हैं?</t>
  </si>
  <si>
    <t>वृत्त के अंदर</t>
  </si>
  <si>
    <t>वृत्त पर</t>
  </si>
  <si>
    <t>वृत्त के बाहर</t>
  </si>
  <si>
    <t>केंद्र पर</t>
  </si>
  <si>
    <t>किसी त्रिभुज की भुजाओं के मध्य बिंदुओं को मिलाने से बना त्रिभुज मूल त्रिभुज के कैसा होता है?</t>
  </si>
  <si>
    <t>(PYQ) दो खंभे 13 मी और 7 मी ऊंचे हैं और समतल जमीन पर खड़े हैं। यदि उनके पादों के बीच की दूरी 8 मी है, तो उनके सिरों के बीच की दूरी है:</t>
  </si>
  <si>
    <t>9 मी</t>
  </si>
  <si>
    <t>11 मी</t>
  </si>
  <si>
    <t>यदि दो त्रिभुजों के क्षेत्रफल का अनुपात 16:25 है, तो उनकी संगत भुजाओं का अनुपात है:</t>
  </si>
  <si>
    <t>16:25</t>
  </si>
  <si>
    <t>5:4</t>
  </si>
  <si>
    <t>ΔABC में ∠B=90∘, यदि AB=3,BC=4 तो AC का मान होगा:</t>
  </si>
  <si>
    <t>25</t>
  </si>
  <si>
    <t>थेल्स प्रमेय का अन्य नाम क्या है?</t>
  </si>
  <si>
    <t>आधारभूत समानुपातिकता प्रमेय</t>
  </si>
  <si>
    <t>पाइथागोरस प्रमेय</t>
  </si>
  <si>
    <t>क्षेत्रफल प्रमेय</t>
  </si>
  <si>
    <t>मध्य बिंदु प्रमेय</t>
  </si>
  <si>
    <t>यदि कोई रेखा किसी त्रिभुज की दो भुजाओं को समान अनुपात में विभाजित करती है, तो वह तीसरी भुजा के होती है:</t>
  </si>
  <si>
    <t>(PYQ) समद्विबाहु समकोण त्रिभुज में यदि कर्ण 102​ है, तो लंब की लंबाई क्या होगी?</t>
  </si>
  <si>
    <t>15</t>
  </si>
  <si>
    <t>किस स्थिति में दो त्रिभुज समरूप नहीं होंगे?</t>
  </si>
  <si>
    <t>उनके संगत कोण बराबर हों</t>
  </si>
  <si>
    <t>उनकी संगत भुजाएं समानुपाती हों</t>
  </si>
  <si>
    <t>उनका आकार समान हो</t>
  </si>
  <si>
    <t>उनका आमाप (साइज) अलग हो लेकिन आकार अलग हो</t>
  </si>
  <si>
    <t>(PYQ) त्रिभुज के तीनों कोणों का अनुपात 1:2:3 है, तो सबसे छोटा कोण क्या होगा?</t>
  </si>
  <si>
    <t>वृत्त के केंद्र पर बना कोण कितने डिग्री का होता है?</t>
  </si>
  <si>
    <t>(PYQ) 10 सेमी त्रिज्या वाले वृत्त की एक जीवा केंद्र पर समकोण बनाती है। जीवा की लंबाई क्या है?</t>
  </si>
  <si>
    <t>102​</t>
  </si>
  <si>
    <t>20</t>
  </si>
  <si>
    <t>समरूप त्रिभुजों का क्षेत्रफल उनकी संगत माध्यिकाओं के _______ के अनुपात के बराबर होता है।</t>
  </si>
  <si>
    <t>एक समकोण त्रिभुज में कर्ण सबसे _______ भुजा होती है।</t>
  </si>
  <si>
    <t>छोटी</t>
  </si>
  <si>
    <t>बड़ी</t>
  </si>
  <si>
    <t>मध्यम</t>
  </si>
  <si>
    <t>(PYQ) दी गई आकृति में ∠O=110∘, तो स्पर्श रेखाओं के बीच का कोण क्या होगा?</t>
  </si>
  <si>
    <t>70∘</t>
  </si>
  <si>
    <t>110∘</t>
  </si>
  <si>
    <t>55∘</t>
  </si>
  <si>
    <t>यदि त्रिभुज की भुजाएं 5, 12, 13 हैं, तो यह त्रिभुज है:</t>
  </si>
  <si>
    <t>दो समरूप त्रिभुजों के परिमाप क्रमशः 30 सेमी और 20 सेमी हैं। यदि पहले त्रिभुज की एक भुजा 12 सेमी है, तो दूसरे त्रिभुज की संगत भुजा है:</t>
  </si>
  <si>
    <t>8 सेमी</t>
  </si>
  <si>
    <t>10 सेमी</t>
  </si>
  <si>
    <t>ज्यामिति में 'सर्वांगसम' का अर्थ है:</t>
  </si>
  <si>
    <t>केवल आकार समान</t>
  </si>
  <si>
    <t>केवल आमाप समान</t>
  </si>
  <si>
    <t>आकार और आमाप दोनों समान</t>
  </si>
  <si>
    <t>(PYQ) ΔABC में $DE</t>
  </si>
  <si>
    <t>BC$, AD=x,DB=x−2,AE=x+2,EC=x−1, तो x का मान है:</t>
  </si>
  <si>
    <t>4</t>
  </si>
  <si>
    <t>3</t>
  </si>
  <si>
    <t>समबाहु त्रिभुज की ऊँचाई उसकी भुजा की कितनी गुनी होती है?</t>
  </si>
  <si>
    <t>3​/2</t>
  </si>
  <si>
    <t>1/2</t>
  </si>
  <si>
    <t>1/3​</t>
  </si>
  <si>
    <t>दो समकोण त्रिभुजों में उनकी संगत भुजाओं का अनुपात सदैव समान रहता है, यह किसने कहा था?</t>
  </si>
  <si>
    <t>(PYQ) बिन्दु Q से किसी वृत्त की स्पर्श रेखा की लम्बाई 24 सेमी है और केन्द्र से Q की दूरी 25 सेमी है। वृत्त की त्रिज्या है:</t>
  </si>
  <si>
    <t>7 सेमी</t>
  </si>
  <si>
    <t>12 सेमी</t>
  </si>
  <si>
    <t>15 सेमी</t>
  </si>
  <si>
    <t>24.5 सेमी</t>
  </si>
  <si>
    <t>यदि दो त्रिभुज ΔABC और ΔPQR में AB/QR=BC/PR=CA/PQ, तो:</t>
  </si>
  <si>
    <t>ΔPQR∼ΔCAB</t>
  </si>
  <si>
    <t>ΔPQR∼ΔABC</t>
  </si>
  <si>
    <t>ΔCBA∼ΔPQR</t>
  </si>
  <si>
    <t>ΔBCA∼ΔPQR</t>
  </si>
  <si>
    <t>एक वर्ग का विकर्ण 162​ सेमी है, तो उसकी भुजा कितनी है?</t>
  </si>
  <si>
    <t>16 सेमी</t>
  </si>
  <si>
    <t>32 सेमी</t>
  </si>
  <si>
    <t>82​ सेमी</t>
  </si>
  <si>
    <t>त्रिभुज का क्षेत्रफल ज्ञात करने का हीरोन का सूत्र क्या है?</t>
  </si>
  <si>
    <t>s(s−a)(s−b)(s−c)​</t>
  </si>
  <si>
    <t>1/2×b×h</t>
  </si>
  <si>
    <t>s(s−a)(s−b)(s−c)</t>
  </si>
  <si>
    <t>(s−a)(s−b)(s−c)​</t>
  </si>
  <si>
    <t>तीन संरेख बिंदुओं से बने त्रिभुज का क्षेत्रफल क्या होता है?</t>
  </si>
  <si>
    <t>1</t>
  </si>
  <si>
    <t>ऋणात्मक</t>
  </si>
  <si>
    <t>यदि किसी त्रिभुज का एक कोण 120∘ है, तो वह त्रिभुज है:</t>
  </si>
  <si>
    <t>(PYQ) दिए गए चित्र में यदि $DE</t>
  </si>
  <si>
    <t>BC$ और AD:DB=5:3 है, तो एरिया(ΔADE) : एरिया(ΔABC) क्या होगा?</t>
  </si>
  <si>
    <t>25:9</t>
  </si>
  <si>
    <t>25:64</t>
  </si>
  <si>
    <t>5:3</t>
  </si>
  <si>
    <t>वृत्त की सबसे बड़ी जीवा कहलाती है:</t>
  </si>
  <si>
    <t>त्रिज्या</t>
  </si>
  <si>
    <t>व्यास</t>
  </si>
  <si>
    <t>चाप</t>
  </si>
  <si>
    <t>स्पर्श रेखा</t>
  </si>
  <si>
    <t>किसी त्रिभुज के तीनों शीर्षलंबों के मिलान बिंदु को क्या कहते हैं?</t>
  </si>
  <si>
    <t>केंद्रक</t>
  </si>
  <si>
    <t>लम्बकेंद्र</t>
  </si>
  <si>
    <t>अन्तःकेंद्र</t>
  </si>
  <si>
    <t>परिकेंद्र</t>
  </si>
  <si>
    <t>यदि ΔABC∼ΔPQR, और AB=4,PQ=6, तो उनके क्षेत्रफलों का अनुपात है:</t>
  </si>
  <si>
    <t>16:36</t>
  </si>
  <si>
    <t>(PYQ) एक पतंग की डोरी 100 मीटर लंबी है और यह क्षैतिज तल से 60∘ का कोण बनाती है। पतंग की ऊँचाई (भू-तल से) है:</t>
  </si>
  <si>
    <t>503​ मी</t>
  </si>
  <si>
    <t>50 मी</t>
  </si>
  <si>
    <t>1003​ मी</t>
  </si>
  <si>
    <t>75 मी</t>
  </si>
  <si>
    <t>एक समकोण त्रिभुज का क्षेत्रफल जिसके आधार 24 सेमी और कर्ण 25 सेमी है, होगा:</t>
  </si>
  <si>
    <t>84 सेमी²</t>
  </si>
  <si>
    <t>168 सेमी²</t>
  </si>
  <si>
    <t>300 सेमी²</t>
  </si>
  <si>
    <t>100 सेमी²</t>
  </si>
  <si>
    <t>ΔABC में D और E भुजा AB और AC के मध्य बिंदु हैं। DE की लंबाई BC की कितनी होगी?</t>
  </si>
  <si>
    <t>एक तिहाई</t>
  </si>
  <si>
    <t>दो वृत्त हमेशा क्या होते हैं?</t>
  </si>
  <si>
    <t>यदि किसी त्रिभुज के कोणों का अनुपात 2:3:4 है, तो सबसे छोटा कोण है:</t>
  </si>
  <si>
    <t>80∘</t>
  </si>
  <si>
    <t>समबाहु त्रिभुज में अंतः कोणों का योग कितना होता है?</t>
  </si>
  <si>
    <t>एक समकोण त्रिभुज में यदि लंब 8 और आधार 6 है, तो कर्ण है:</t>
  </si>
  <si>
    <t>14</t>
  </si>
  <si>
    <t>(PYQ) बाह्य बिंदु से वृत्त पर कितनी स्पर्श रेखाएं खींची जा सकती हैं?</t>
  </si>
  <si>
    <t>यदि दो त्रिभुज समानकोणिक हों, तो उनकी संगत भुजाएं होंगी:</t>
  </si>
  <si>
    <t>ΔABC में ∠A=90∘, AB=5,AC=12, तो AD⊥BC की लंबाई (लगभग) क्या होगी?</t>
  </si>
  <si>
    <t>4.6</t>
  </si>
  <si>
    <t>6.5</t>
  </si>
  <si>
    <t>निम्न में कौन सा पाइथागोरस त्रिक (Triplet) नहीं है?</t>
  </si>
  <si>
    <t>(3, 4, 5)</t>
  </si>
  <si>
    <t>(5, 12, 13)</t>
  </si>
  <si>
    <t>(6, 8, 10)</t>
  </si>
  <si>
    <t>(2, 3, 4)</t>
  </si>
  <si>
    <t>यदि ΔABC≅ΔPQR, तो ∠B किसके बराबर होगा?</t>
  </si>
  <si>
    <t>∠P</t>
  </si>
  <si>
    <t>∠Q</t>
  </si>
  <si>
    <t>∠R</t>
  </si>
  <si>
    <t>(PYQ) 6 मीटर ऊंचे वृक्ष की छाया 4 मीटर लंबी है। उसी समय एक खंभे की छाया 50 मीटर लंबी है, तो खंभे की ऊंचाई है:</t>
  </si>
  <si>
    <t>100 मी</t>
  </si>
  <si>
    <t>25 मी</t>
  </si>
  <si>
    <t>दो समरूप त्रिभुजों की भुजाओं का अनुपात 1:2 है, तो उनके क्षेत्रफलों का अनुपात क्या होगा?</t>
  </si>
  <si>
    <t>1:4</t>
  </si>
  <si>
    <t>4:1</t>
  </si>
  <si>
    <t>समकोण त्रिभुज में सबसे बड़ा कोण कौन सा होता है?</t>
  </si>
  <si>
    <t>एक समबाहु त्रिभुज की ऊँचाई H है, तो इसका क्षेत्रफल H के पदों में क्या होगा?</t>
  </si>
  <si>
    <t>H2/3​</t>
  </si>
  <si>
    <t>H23​</t>
  </si>
  <si>
    <t>H2</t>
  </si>
  <si>
    <t>2H2</t>
  </si>
  <si>
    <t>(PYQ) यदि tanθ=3/4, तो sinθ का मान (त्रिभुज नियम से) क्या होगा?</t>
  </si>
  <si>
    <t>3/5</t>
  </si>
  <si>
    <t>5/3</t>
  </si>
  <si>
    <t>5/4</t>
  </si>
  <si>
    <t>SAS (भुजा-कोण-भुजा) समरूपता कसौटी के लिए कोण कैसा होना चाहिए?</t>
  </si>
  <si>
    <t>कोई भी कोण</t>
  </si>
  <si>
    <t>अंतर्गत कोण (Included Angle)</t>
  </si>
  <si>
    <t>बाह्य कोण</t>
  </si>
  <si>
    <t>एक त्रिभुज जिसकी भुजाएं 8 सेमी, 15 सेमी और 17 सेमी हैं, वह है:</t>
  </si>
  <si>
    <t>दो सर्वांगसम त्रिभुज हमेशा _______ होते हैं।</t>
  </si>
  <si>
    <t>अलग</t>
  </si>
  <si>
    <t>बराबर नहीं</t>
  </si>
  <si>
    <t>(PYQ) दी गई आकृति में PA और PB स्पर्श रेखाएं हैं। यदि ∠APB=60∘, तो ∠AOB= ?</t>
  </si>
  <si>
    <t>वर्ग और आयत हमेशा समरूप होते हैं?</t>
  </si>
  <si>
    <t>ΔABC का क्षेत्रफल ज्ञात करें जिसके शीर्ष (1,-1), (-4,6) और (-3,-5) हैं।</t>
  </si>
  <si>
    <t>24</t>
  </si>
  <si>
    <t>48</t>
  </si>
  <si>
    <t>0</t>
  </si>
  <si>
    <t>यदि ΔABC∼ΔDEF और AB=1.2,DE=1.4, तो दोनों त्रिभुजों के क्षेत्रफलों का अनुपात है:</t>
  </si>
  <si>
    <t>36:49</t>
  </si>
  <si>
    <t>1.2:1.4</t>
  </si>
  <si>
    <t>12:14</t>
  </si>
  <si>
    <t>144:196</t>
  </si>
  <si>
    <t>AAA समरूपता कसौटी का अर्थ है:</t>
  </si>
  <si>
    <t>तीनों भुजाएं बराबर</t>
  </si>
  <si>
    <t>तीनों कोण बराबर</t>
  </si>
  <si>
    <t>दो भुजा एक कोण बराबर</t>
  </si>
  <si>
    <t>एक रेखा जो त्रिभुज की एक भुजा के समांतर हो और अन्य दो भुजाओं को काटे, उन्हें किस अनुपात में बांटती है?</t>
  </si>
  <si>
    <t>दोगुना</t>
  </si>
  <si>
    <t>(PYQ) 12 मी लंबी एक सीढ़ी दीवार पर टिकाने पर जमीन से कितनी दूर होनी चाहिए यदि वह 10 मी ऊंची खिड़की तक न पहुंचे बल्कि दीवार की ऊंचाई 8 मी हो?</t>
  </si>
  <si>
    <t>54​</t>
  </si>
  <si>
    <t>समद्विबाहु त्रिभुज का क्षेत्रफल जिसका आधार 'b' और समान भुजा 'a' हो:</t>
  </si>
  <si>
    <t>4b​4a2−b2​</t>
  </si>
  <si>
    <t>21​×b×h</t>
  </si>
  <si>
    <t>43​​a2</t>
  </si>
  <si>
    <t>यदि किसी त्रिभुज की माध्यिका उसे दो बराबर क्षेत्रफलों में बांटती है, तो वह माध्यिका है:</t>
  </si>
  <si>
    <t>लंब</t>
  </si>
  <si>
    <t>कोण समद्विभाजक</t>
  </si>
  <si>
    <t>भुजा समद्विभाजक</t>
  </si>
  <si>
    <t>(PYQ) यदि 3,4,x एक समकोण त्रिभुज की भुजाएं हैं और x कर्ण है, तो x का मान है:</t>
  </si>
  <si>
    <t>सभी वर्ग समरूप होते हैं क्योंकि:</t>
  </si>
  <si>
    <t>उनके कोण 90∘ होते हैं और भुजाएं समानुपाती</t>
  </si>
  <si>
    <t>वे सर्वांगसम होते हैं</t>
  </si>
  <si>
    <t>उनकी भुजाएं बराबर होती हैं</t>
  </si>
  <si>
    <t>वे चतुर्भुज होते हैं</t>
  </si>
  <si>
    <t>एक त्रिभुज में अधिक से अधिक कितने समकोण हो सकते हैं?</t>
  </si>
  <si>
    <t>(PYQ) दो समरूप त्रिभुजों की भुजाएं 4:9 के अनुपात में हैं। इनके क्षेत्रफलों का अनुपात है:</t>
  </si>
  <si>
    <t>"कर्ण का वर्ग शेष दो भुजाओं के वर्गों के योग के बराबर होता है" - यह कथन है:</t>
  </si>
  <si>
    <t>थेल्स का</t>
  </si>
  <si>
    <t>पाइथागोरस का</t>
  </si>
  <si>
    <t>आर्यभट्ट का</t>
  </si>
  <si>
    <t>यूक्लिड का</t>
  </si>
  <si>
    <t>यदि एक त्रिभुज का कोण 90∘ से अधिक है, तो उसके सामने की भुजा कहलाती है:</t>
  </si>
  <si>
    <t>कर्ण</t>
  </si>
  <si>
    <t>आधार</t>
  </si>
  <si>
    <t>सबसे बड़ी भुजा</t>
  </si>
  <si>
    <t>एक समबाहु त्रिभुज की परिमिति 30 सेमी है। इसकी भुजा की लंबाई है:</t>
  </si>
  <si>
    <t>30 सेमी</t>
  </si>
  <si>
    <t>(PYQ) यदि ΔABC∼ΔPQR, AB/PQ=5/7, तो परिमाप(ΔABC)/परिमाप(ΔPQR) = ?</t>
  </si>
  <si>
    <t>5/7</t>
  </si>
  <si>
    <t>25/49</t>
  </si>
  <si>
    <t>7/5</t>
  </si>
  <si>
    <t>49/25</t>
  </si>
  <si>
    <t>किसी त्रिभुज में कम से कम कितने न्यूनकोण होने चाहिए?</t>
  </si>
  <si>
    <t>समान आधार और समान समांतर रेखाओं के बीच बने त्रिभुजों का क्षेत्रफल होता है:</t>
  </si>
  <si>
    <t>एक समकोण समद्विबाहु त्रिभुज का एक कोण 90∘ है, तो शेष दो कोण हैं:</t>
  </si>
  <si>
    <t>45∘,45∘</t>
  </si>
  <si>
    <t>30∘,60∘</t>
  </si>
  <si>
    <t>60∘,60∘</t>
  </si>
  <si>
    <t>50∘,40∘</t>
  </si>
  <si>
    <t>(PYQ) बिंदु P से वृत्त पर स्पर्श रेखा की लंबाई 12 सेमी और केंद्र से P की दूरी 13 सेमी है। त्रिज्या है:</t>
  </si>
  <si>
    <t>6.5 सेमी</t>
  </si>
  <si>
    <t>यदि ΔABC में D,BC का मध्य बिंदु है, तो AB2+AC2= ? (अपोलोनियस प्रमेय)</t>
  </si>
  <si>
    <t>2(AD2+BD2)</t>
  </si>
  <si>
    <t>AD2+BD2</t>
  </si>
  <si>
    <t>2AD2</t>
  </si>
  <si>
    <t>BC2</t>
  </si>
  <si>
    <t>एक त्रिभुज की भुजाएं 7, 24, 25 हैं। इसके अंतःवृत्त की त्रिज्या होगी:</t>
  </si>
  <si>
    <t>3.5</t>
  </si>
  <si>
    <t>यदि त्रिभुज के शीर्ष (0,0),(3,0),(0,4) हों, तो यह त्रिभुज है:</t>
  </si>
  <si>
    <t>(PYQ) चित्र में AD कोण A का समद्विभाजक है। यदि AB=6,AC=8,BD=3, तो DC का मान है:</t>
  </si>
  <si>
    <t>BPT का प्रयोग किस प्रकार के त्रिभुजों में होता है?</t>
  </si>
  <si>
    <t>सभी त्रिभुजों में</t>
  </si>
  <si>
    <t>केवल समकोण में</t>
  </si>
  <si>
    <t>केवल समबाहु में</t>
  </si>
  <si>
    <t>केवल समद्विबाहु में</t>
  </si>
  <si>
    <t>दो त्रिभुजों के सर्वांगसम होने के लिए कम से कम कितने अवयव समान होने चाहिए?</t>
  </si>
  <si>
    <t>यदि ΔABC∼ΔDEF और क्षेत्रफल बराबर हैं, तो त्रिभुज हैं:</t>
  </si>
  <si>
    <t>केवल समरूप</t>
  </si>
  <si>
    <t>निर्देशांक ज्यामिति</t>
  </si>
  <si>
    <t>बिंदु (-6, -7) की कोटि (ordinate) क्या है?</t>
  </si>
  <si>
    <t>x-अक्ष का समीकरण क्या होता है?</t>
  </si>
  <si>
    <t>बिंदु (-12, -18) का भुज (abscissa) क्या है?</t>
  </si>
  <si>
    <t>मूल बिंदु (Origin) के निर्देशांक क्या होते हैं?</t>
  </si>
  <si>
    <t>(1, 1)</t>
  </si>
  <si>
    <t>(0, 1)</t>
  </si>
  <si>
    <t>(1, 0)</t>
  </si>
  <si>
    <t>बिंदु (-3, -5) किस चतुर्थांश (Quadrant) में स्थित है?</t>
  </si>
  <si>
    <t>y-अक्ष का समीकरण क्या होता है?</t>
  </si>
  <si>
    <t>बिंदु (6, -5) में x का नियामक (भुज) क्या है?</t>
  </si>
  <si>
    <t>बिंदु (3, 2) और (-3, 2) दोनों अवस्थित हैं:</t>
  </si>
  <si>
    <t>x-अक्ष पर</t>
  </si>
  <si>
    <t>y-अक्ष पर</t>
  </si>
  <si>
    <t>x-अक्ष के एक ओर</t>
  </si>
  <si>
    <t>y-अक्ष के दोनों ओर</t>
  </si>
  <si>
    <t>बिंदुओं (9, 3) और (15, 11) के बीच की दूरी क्या है?</t>
  </si>
  <si>
    <t>बिंदु (x, y) की दूरी मूल बिंदु से क्या होगी?</t>
  </si>
  <si>
    <t>√(x² - y²)</t>
  </si>
  <si>
    <t>√(x² + y²)</t>
  </si>
  <si>
    <t>x² + y²</t>
  </si>
  <si>
    <t>बिंदुओं (-2, 3) और (2, 3) के बीच की दूरी क्या है?</t>
  </si>
  <si>
    <t>बिंदुओं (-2, 8) और (-6, -4) को मिलाने वाले रेखाखंड का मध्य बिंदु क्या है?</t>
  </si>
  <si>
    <t>(-4, 2)</t>
  </si>
  <si>
    <t>(2, -4)</t>
  </si>
  <si>
    <t>(-4, -2)</t>
  </si>
  <si>
    <t>(4, 2)</t>
  </si>
  <si>
    <t>यदि बिंदु (x, y) मूल बिंदु से 5 इकाई की दूरी पर है, तो सत्य कथन है:</t>
  </si>
  <si>
    <t>x² - y² = 25</t>
  </si>
  <si>
    <t>x² + y² = 25</t>
  </si>
  <si>
    <t>बिंदु A(8, 10) और B(4, 6) को मिलाने वाले रेखाखंड के मध्य बिंदु का नियामक है:</t>
  </si>
  <si>
    <t>(6, 8)</t>
  </si>
  <si>
    <t>(8, 6)</t>
  </si>
  <si>
    <t>(12, 16)</t>
  </si>
  <si>
    <t>(4, 4)</t>
  </si>
  <si>
    <t>बिंदु (4, 3) किस पाद (Quadrant) में है?</t>
  </si>
  <si>
    <t>किसी बिंदु की x-अक्ष से दूरी उस बिंदु की क्या कहलाती है?</t>
  </si>
  <si>
    <t>भुज</t>
  </si>
  <si>
    <t>कोटि</t>
  </si>
  <si>
    <t>अक्ष</t>
  </si>
  <si>
    <t>आलेख</t>
  </si>
  <si>
    <t>किसी बिंदु की y-अक्ष से दूरी उस बिंदु की क्या कहलाती है?</t>
  </si>
  <si>
    <t>y-अक्ष</t>
  </si>
  <si>
    <t>मूल बिंदु</t>
  </si>
  <si>
    <t>x-अक्ष पर स्थित किसी बिंदु का निर्देशांक किस रूप में होता है?</t>
  </si>
  <si>
    <t>(x, y)</t>
  </si>
  <si>
    <t>(0, y)</t>
  </si>
  <si>
    <t>(x, 0)</t>
  </si>
  <si>
    <t>(x, x)</t>
  </si>
  <si>
    <t>y-अक्ष पर स्थित किसी बिंदु का निर्देशांक किस रूप में होता है?</t>
  </si>
  <si>
    <t>(y, 0)</t>
  </si>
  <si>
    <t>(y, y)</t>
  </si>
  <si>
    <t>कार्तिय तल (Cartesian Plane) में स्थित किसी बिंदु (8, -9) में कोटि का मान होगा:</t>
  </si>
  <si>
    <t>बिंदुओं (2, 3) और (4, 1) के बीच की दूरी है:</t>
  </si>
  <si>
    <t>2√2</t>
  </si>
  <si>
    <t>बिंदु (2, √3) निम्नलिखित में से कौन सी संख्या युग्म है?</t>
  </si>
  <si>
    <t>परिमेय, अपरिमेय</t>
  </si>
  <si>
    <t>अपरिमेय, परिमेय</t>
  </si>
  <si>
    <t>दोनों परिमेय</t>
  </si>
  <si>
    <t>यदि किसी त्रिभुज के शीर्ष (0,0), (4,0) और (0,1) हों, तो त्रिभुज का क्षेत्रफल क्या होगा?</t>
  </si>
  <si>
    <t>(-3, -5) किस पाद में स्थित है?</t>
  </si>
  <si>
    <t>बिंदुओं A(4, 5) तथा B(6, 5) को मिलाने वाली रेखा का मध्य बिंदु है:</t>
  </si>
  <si>
    <t>(5, 5)</t>
  </si>
  <si>
    <t>(2, 10)</t>
  </si>
  <si>
    <t>(5, 4)</t>
  </si>
  <si>
    <t>(4, 5)</t>
  </si>
  <si>
    <t>त्रिभुज का गुरुत्व केंद्र (Centroid) का सूत्र क्या होता है?</t>
  </si>
  <si>
    <t>(x1+x2)/2, (y1+y2)/2</t>
  </si>
  <si>
    <t>(x1+x2+x3)/3, (y1+y2+y3)/3</t>
  </si>
  <si>
    <t>(x1+y1)/3, (x2+y2)/3</t>
  </si>
  <si>
    <t>बिंदु (-12, -18) में भुज का मान है:</t>
  </si>
  <si>
    <t>x-अक्ष और y-अक्ष के प्रतिच्छेद बिंदु को क्या कहते हैं?</t>
  </si>
  <si>
    <t>यदि तीन बिंदु संरेख (Collinear) हों, तो उनसे बने त्रिभुज का क्षेत्रफल क्या होगा?</t>
  </si>
  <si>
    <t>बिंदु P(-6, 8) की मूल बिंदु से दूरी है:</t>
  </si>
  <si>
    <t>8 इकाई</t>
  </si>
  <si>
    <t>2√7 इकाई</t>
  </si>
  <si>
    <t>10 इकाई</t>
  </si>
  <si>
    <t>6 इकाई</t>
  </si>
  <si>
    <t>बिंदु (7, 10) किस पाद में स्थित है?</t>
  </si>
  <si>
    <t>y-अक्ष से 5 इकाई दाईं ओर और x-अक्ष पर स्थित बिंदु के निर्देशांक हैं:</t>
  </si>
  <si>
    <t>(5, 0)</t>
  </si>
  <si>
    <t>(0, 5)</t>
  </si>
  <si>
    <t>(-5, 0)</t>
  </si>
  <si>
    <t>(0, -5)</t>
  </si>
  <si>
    <t>बिंदु A(2, -4) और B(4, -2) को मिलाने वाली रेखा के मध्य बिंदु का नियामक है:</t>
  </si>
  <si>
    <t>(3, -3)</t>
  </si>
  <si>
    <t>(-3, 3)</t>
  </si>
  <si>
    <t>(-2, -2)</t>
  </si>
  <si>
    <t>यदि बिंदु (a, 0), (0, b) और (1, 1) संरेख हों, तो 1/a + 1/b = ?</t>
  </si>
  <si>
    <t>बिंदु (-5, 7) और (-1, 3) के बीच की दूरी है:</t>
  </si>
  <si>
    <t>3√2</t>
  </si>
  <si>
    <t>4√2</t>
  </si>
  <si>
    <t>5√2</t>
  </si>
  <si>
    <t>उस त्रिभुज का क्षेत्रफल ज्ञात करें जिसके शीर्ष (1, -1), (-4, 6) और (-3, -5) हैं।</t>
  </si>
  <si>
    <t>बिंदु R(0, 6), Q(4, 10) और R(-12, -2) से बने त्रिभुज का क्षेत्रफल है:</t>
  </si>
  <si>
    <t>6 वर्ग इकाई</t>
  </si>
  <si>
    <t>12 वर्ग इकाई</t>
  </si>
  <si>
    <t>8 वर्ग इकाई</t>
  </si>
  <si>
    <t>10 वर्ग इकाई</t>
  </si>
  <si>
    <t>यदि बिंदुओं P(0,0) और Q(x, 5) के बीच की दूरी 15 इकाई है, तो x का मान होगा:</t>
  </si>
  <si>
    <t>±10</t>
  </si>
  <si>
    <t>±10√2</t>
  </si>
  <si>
    <t>±5√2</t>
  </si>
  <si>
    <t>x-अक्ष से बिंदु R(6, 12) की दूरी है:</t>
  </si>
  <si>
    <t>12 इकाई</t>
  </si>
  <si>
    <t>18 इकाई</t>
  </si>
  <si>
    <t>9 इकाई</t>
  </si>
  <si>
    <t>यदि किसी त्रिभुज के शीर्ष (0, 8), (0, 0) और (6, 0) हैं, तो परिमाप होगा:</t>
  </si>
  <si>
    <t>48 इकाई</t>
  </si>
  <si>
    <t>14 इकाई</t>
  </si>
  <si>
    <t>28 इकाई</t>
  </si>
  <si>
    <t>24 इकाई</t>
  </si>
  <si>
    <t>समीकरण 4x + 3y = 12 का आलेख y-अक्ष को किस बिंदु पर काटता है?</t>
  </si>
  <si>
    <t>मूल बिंदु से बिंदु P(2√2, -2√2) की दूरी है:</t>
  </si>
  <si>
    <t>2 इकाई</t>
  </si>
  <si>
    <t>4 इकाई</t>
  </si>
  <si>
    <t>√2 इकाई</t>
  </si>
  <si>
    <t>बिंदु (p cos θ, 0) और (0, p sin θ) के बीच की दूरी है:</t>
  </si>
  <si>
    <t>p²</t>
  </si>
  <si>
    <t>क्षैतिज रेखा (Horizontal Line) को क्या कहते हैं?</t>
  </si>
  <si>
    <t>x-अक्ष</t>
  </si>
  <si>
    <t>ऊर्ध्वाधर रेखा (Vertical Line) को क्या कहते हैं?</t>
  </si>
  <si>
    <t>बिंदु (-2, -5) में कोटि का मान है:</t>
  </si>
  <si>
    <t>बिंदु (-3, 5/2) किस चतुर्थांश में है?</t>
  </si>
  <si>
    <t>बिंदु (7/2, 9/4) किस चतुर्थांश में है?</t>
  </si>
  <si>
    <t>एक रेखाखंड के एक छोर के निर्देशांक (8, -6) और मध्य बिंदु (4, 6) हैं, तो दूसरे छोर के निर्देशांक क्या होंगे?</t>
  </si>
  <si>
    <t>(0, 18)</t>
  </si>
  <si>
    <t>(18, 0)</t>
  </si>
  <si>
    <t>(0, 12)</t>
  </si>
  <si>
    <t>विभाजन सूत्र (Section Formula) में m:n अनुपात के लिए x का मान क्या होता है?</t>
  </si>
  <si>
    <t>(mx2+nx1)/(m+n)</t>
  </si>
  <si>
    <t>(mx2-nx1)/(m+n)</t>
  </si>
  <si>
    <t>(mx1+nx2)/(m+n)</t>
  </si>
  <si>
    <t>(my2+ny1)/(m+n)</t>
  </si>
  <si>
    <t>त्रिभुज का क्षेत्रफल ज्ञात करने के लिए '23, 31, 12' कोड का प्रयोग किस सूत्र में होता है?</t>
  </si>
  <si>
    <t>दूरी सूत्र</t>
  </si>
  <si>
    <t>विभाजन सूत्र</t>
  </si>
  <si>
    <t>त्रिभुज का क्षेत्रफल</t>
  </si>
  <si>
    <t>मध्य बिंदु सूत्र</t>
  </si>
  <si>
    <t>बिंदु (4, -5) की मूल बिंदु से दूरी होगी:</t>
  </si>
  <si>
    <t>√41</t>
  </si>
  <si>
    <t>बिंदु (2, 3) की दूरी मूल बिंदु से होगी:</t>
  </si>
  <si>
    <t>√10</t>
  </si>
  <si>
    <t>√13</t>
  </si>
  <si>
    <t>यदि बिंदु A(k+1, 2k), B(3k, 2k+3) और C(5k-1, 5k) संरेख हों तो k का मान होगा?</t>
  </si>
  <si>
    <t>बिंदु (0, y) किस अक्ष पर स्थित होता है?</t>
  </si>
  <si>
    <t>किसी पर नहीं</t>
  </si>
  <si>
    <t>निर्देशांक (3, 0) कहाँ स्थित है?</t>
  </si>
  <si>
    <t>प्रथम पाद</t>
  </si>
  <si>
    <t>चतुर्थ पाद</t>
  </si>
  <si>
    <t>बिंदु (-12, -18) का कोटि (ordinate) कौन है?</t>
  </si>
  <si>
    <t>y-अक्ष से बिंदु (3, 5) की दूरी क्या होगी?</t>
  </si>
  <si>
    <t>x-अक्ष से बिंदु (3, 5) की दूरी क्या होगी?</t>
  </si>
  <si>
    <t>मूल बिंदु से बिंदु P(22​,−22​) की दूरी क्या है?</t>
  </si>
  <si>
    <t>2​ इकाई</t>
  </si>
  <si>
    <t>समीकरण 4x+3y=12 का आलेख y-अक्ष को किस बिंदु पर काटता है?</t>
  </si>
  <si>
    <t>यदि बिंदुओं P(0,0) और Q(x,5) के बीच की दूरी 15 इकाई है, तो x का मान होगा:</t>
  </si>
  <si>
    <t>±102​</t>
  </si>
  <si>
    <t>±52​</t>
  </si>
  <si>
    <t>किसी त्रिभुज के शीर्षों के निर्देशांक (8, 12), (0, 8) और (10, 10) हैं, तो इसके केंद्रक (Centroid) का निर्देशांक होगा:</t>
  </si>
  <si>
    <t>(3, 5)</t>
  </si>
  <si>
    <t>(6, 10)</t>
  </si>
  <si>
    <t>(9, 15)</t>
  </si>
  <si>
    <t>(10, 6)</t>
  </si>
  <si>
    <t>बिंदु P(0,6), Q(4,10) और R(−12,−2) से बने त्रिभुज का क्षेत्रफल है:</t>
  </si>
  <si>
    <t>यदि बिंदु A(k+1,2k), B(3k,2k+3) और C(5k−1,5k) संरेख (Collinear) हों, तो k का मान है:</t>
  </si>
  <si>
    <t>-2, 1/2</t>
  </si>
  <si>
    <t>2, 1/2</t>
  </si>
  <si>
    <t>-2, -1/2</t>
  </si>
  <si>
    <t>2, -1/2</t>
  </si>
  <si>
    <t>बिंदु (−3​,−5​) किस पाद (Quadrant) में स्थित है?</t>
  </si>
  <si>
    <t>x-अक्ष पर स्थित वह बिंदु जो (2, -5) और (-2, 9) से समदूरस्थ (Equidistant) है:</t>
  </si>
  <si>
    <t>(-7, 0)</t>
  </si>
  <si>
    <t>(0, 7)</t>
  </si>
  <si>
    <t>(7, 0)</t>
  </si>
  <si>
    <t>(0, -7)</t>
  </si>
  <si>
    <t>बिंदु A(5, 2), B(4, 7) और C(7, -4) से बनने वाले त्रिभुज का क्षेत्रफल ज्ञात करने के लिए किस सूत्र का प्रयोग होगा?</t>
  </si>
  <si>
    <t>हीरोन सूत्र</t>
  </si>
  <si>
    <t>1/2[x1​(y2​−y3​)+x2​(y3​−y1​)+x3​(y1​−y2​)]</t>
  </si>
  <si>
    <t>उस बिंदु के निर्देशांक ज्ञात करें जो बिंदुओं (-1, 7) और (4, -3) को मिलाने वाले रेखाखंड को 2:3 के अनुपात में विभाजित करता है।</t>
  </si>
  <si>
    <t>(1, 3)</t>
  </si>
  <si>
    <t>(2, 3)</t>
  </si>
  <si>
    <t>(3, 1)</t>
  </si>
  <si>
    <t>बिंदु (4, -1) और (-2, -3) को जोड़ने वाले रेखाखंड के समत्रिभाजित (Trisection) करने वाले बिंदुओं के लिए अनुपात क्या होगा?</t>
  </si>
  <si>
    <t>1:2 और 2:1</t>
  </si>
  <si>
    <t>y-अक्ष पर वह बिंदु ज्ञात करें जो (6, 5) और (-4, 3) से समदूरस्थ है।</t>
  </si>
  <si>
    <t>(0, 9)</t>
  </si>
  <si>
    <t>(9, 0)</t>
  </si>
  <si>
    <t>(0, -9)</t>
  </si>
  <si>
    <t>क्या बिंदु (3, 2), (-2, -3) और (2, 3) एक त्रिभुज बनाते हैं?</t>
  </si>
  <si>
    <t>ज्ञात नहीं किया जा सकता</t>
  </si>
  <si>
    <t>बिंदु (6, -5) का x-नियामक (भुज) क्या है?</t>
  </si>
  <si>
    <t>यदि A(1,2), O(0,0) और C(a,b) संरेख हैं, तो:</t>
  </si>
  <si>
    <t>a = b</t>
  </si>
  <si>
    <t>a = 2b</t>
  </si>
  <si>
    <t>2a = b</t>
  </si>
  <si>
    <t>a + b = 0</t>
  </si>
  <si>
    <t>त्रिभुज का क्षेत्रफल ज्ञात करने के लिए '23, 31, 12' ट्रिक का सम्बन्ध किससे है?</t>
  </si>
  <si>
    <t>भुजाओं का योग</t>
  </si>
  <si>
    <t>निर्देशांकों का क्रम (y2​−y3​,y3​−y1​,...)</t>
  </si>
  <si>
    <t>कोणों का माप</t>
  </si>
  <si>
    <t>मध्य बिंदु</t>
  </si>
  <si>
    <t>निर्देशांकों का क्रम</t>
  </si>
  <si>
    <t>कार्तीय तल (Cartesian Plane) में क्षैतिज रेखा (Horizontal Line) को क्या कहते हैं?</t>
  </si>
  <si>
    <t>कार्तीय तल में ऊर्ध्वाधर रेखा (Vertical Line) को क्या कहते हैं?</t>
  </si>
  <si>
    <t>मूल बिंदु (Origin) को सामान्यतः किस अक्षर से सूचित किया जाता है?</t>
  </si>
  <si>
    <t>P</t>
  </si>
  <si>
    <t>Q</t>
  </si>
  <si>
    <t>O</t>
  </si>
  <si>
    <t>M</t>
  </si>
  <si>
    <t>प्रथम पाद (First Quadrant) में किसी बिंदु के निर्देशांक का चिन्ह क्या होता है?</t>
  </si>
  <si>
    <t>(+, +)</t>
  </si>
  <si>
    <t>(-, +)</t>
  </si>
  <si>
    <t>(-, -)</t>
  </si>
  <si>
    <t>(+, -)</t>
  </si>
  <si>
    <t>बिंदु (4, 3) किस चतुर्थांश में है?</t>
  </si>
  <si>
    <t>I</t>
  </si>
  <si>
    <t>II</t>
  </si>
  <si>
    <t>III</t>
  </si>
  <si>
    <t>IV</t>
  </si>
  <si>
    <t>बिंदु (-3, 5) किस चतुर्थांश में है?</t>
  </si>
  <si>
    <t>बिंदु (-2, -5) किस चतुर्थांश में है?</t>
  </si>
  <si>
    <t>बिंदु (3, -1) किस चतुर्थांश में है?</t>
  </si>
  <si>
    <t>x-अक्ष पर स्थित किसी बिंदु का y-निर्देशांक (कोटि) हमेशा क्या होता है?</t>
  </si>
  <si>
    <t>y-अक्ष पर स्थित किसी बिंदु का x-निर्देशांक (भुज) हमेशा क्या होता है?</t>
  </si>
  <si>
    <t>बिंदु (0, -3) कहाँ स्थित है?</t>
  </si>
  <si>
    <t>द्वितीय पाद</t>
  </si>
  <si>
    <t>बिंदु (-5, 0) कहाँ स्थित है?</t>
  </si>
  <si>
    <t>तृतीय पाद</t>
  </si>
  <si>
    <t>बिंदु (x, y) की मूल बिंदु से दूरी का सूत्र है:</t>
  </si>
  <si>
    <t>x2−y2​</t>
  </si>
  <si>
    <t>x2+y2​</t>
  </si>
  <si>
    <t>x+y</t>
  </si>
  <si>
    <t>x2+y2</t>
  </si>
  <si>
    <t>बिंदुओं (x1​,y1​) और (x2​,y2​) को मिलाने वाले रेखाखंड के मध्य बिंदु का सूत्र है:</t>
  </si>
  <si>
    <t>(2x1​−x2​​,2y1​−y2​​)</t>
  </si>
  <si>
    <t>(2x1​+x2​​,2y1​+y2​​)</t>
  </si>
  <si>
    <t>(3x1​+x2​​,3y1​+y2​​)</t>
  </si>
  <si>
    <t>x1​+x2​,y1​+y2​</t>
  </si>
  <si>
    <t>विभाजन सूत्र (Section Formula) में m1​:m2​ अनुपात के लिए x का निर्देशांक है:</t>
  </si>
  <si>
    <t>m1​+m2​m1​x2​+m2​x1​​</t>
  </si>
  <si>
    <t>m1​−m2​m1​x2​−m2​x1​​</t>
  </si>
  <si>
    <t>m1​+m2​m1​x1​+m2​x2​​</t>
  </si>
  <si>
    <t>2x1​+x2​​</t>
  </si>
  <si>
    <t>त्रिभुज का गुरुत्व केंद्र (Centroid) ज्ञात करने का सूत्र है:</t>
  </si>
  <si>
    <t>2x1​+x2​​,2y1​+y2​​</t>
  </si>
  <si>
    <t>3x1​+x2​+x3​​,3y1​+y2​+y3​​</t>
  </si>
  <si>
    <t>2x1​+x2​+x3​​,2y1​+y2​+y3​​</t>
  </si>
  <si>
    <t>यदि तीन बिंदु संरेख (Collinear) हैं, तो उनसे बने त्रिभुज का क्षेत्रफल क्या होगा?</t>
  </si>
  <si>
    <t>धनात्मक</t>
  </si>
  <si>
    <t>0 (शून्य)</t>
  </si>
  <si>
    <t>बिंदु A(2, 3) और B(4, 1) के बीच की दूरी है:</t>
  </si>
  <si>
    <t>42​</t>
  </si>
  <si>
    <t>32​</t>
  </si>
  <si>
    <t>52​</t>
  </si>
  <si>
    <t>बिंदु (a, b) और (-a, -b) के बीच की दूरी है:</t>
  </si>
  <si>
    <t>2a2+b2​</t>
  </si>
  <si>
    <t>a2+b2​</t>
  </si>
  <si>
    <t>2(a+b)</t>
  </si>
  <si>
    <t>बिंदु (2,3) और (4,1) के मध्य बिंदु का निर्देशांक है:</t>
  </si>
  <si>
    <t>यदि एक वृत्त के व्यास के सिरों के निर्देशांक (4, -2) और (-4, 2) हैं, तो केंद्र के निर्देशांक होंगे:</t>
  </si>
  <si>
    <t>(8, -4)</t>
  </si>
  <si>
    <t>त्रिभुज का क्षेत्रफल क्या होगा जिसके शीर्ष (1, -1), (-4, 6) और (-3, -5) हैं?</t>
  </si>
  <si>
    <t>y-अक्ष का समीकरण क्या है?</t>
  </si>
  <si>
    <t>x = a</t>
  </si>
  <si>
    <t>y = b</t>
  </si>
  <si>
    <t>x-अक्ष का समीकरण क्या है?</t>
  </si>
  <si>
    <t>उस बिंदु का भुज क्या होगा जो y-अक्ष पर स्थित है?</t>
  </si>
  <si>
    <t>कोई भी संख्या</t>
  </si>
  <si>
    <t>बिंदु (3, 5) की y-अक्ष से दूरी क्या कहलाएगी?</t>
  </si>
  <si>
    <t>लम्ब</t>
  </si>
  <si>
    <t>भुज (x-निर्देशांक)</t>
  </si>
  <si>
    <t>बिंदु P(6, -5) का भुज (Abscissa) है:</t>
  </si>
  <si>
    <t>बिंदु Q(-3, -4) की कोटि (Ordinate) है:</t>
  </si>
  <si>
    <t>बिन्दुओं A(x1​,y1​) और B(x2​,y2​) को जोड़ने वाली रेखा के मध्य बिंदु के निर्देशांक के लिए x का मान होगा:</t>
  </si>
  <si>
    <t>x1​+x2​</t>
  </si>
  <si>
    <t>2x1​−x2​​</t>
  </si>
  <si>
    <t>x1​×x2​</t>
  </si>
  <si>
    <t>यदि त्रिभुज का केन्द्रक मूल बिंदु (0,0) है और दो शीर्ष (1, 2) तथा (3, 4) हैं, तो तीसरा शीर्ष होगा:</t>
  </si>
  <si>
    <t>(-4, -6)</t>
  </si>
  <si>
    <t>(4, 6)</t>
  </si>
  <si>
    <t>(-2, -3)</t>
  </si>
  <si>
    <t>x-अक्ष के समांतर रेखा का समीकरण किस रूप में होता है?</t>
  </si>
  <si>
    <t>y-अक्ष के समांतर रेखा का समीकरण किस रूप में होता है?</t>
  </si>
  <si>
    <t>y = a</t>
  </si>
  <si>
    <t>x + y = a</t>
  </si>
  <si>
    <t>बिंदु (0, 5) और (-5, 0) के बीच की दूरी है:</t>
  </si>
  <si>
    <t>यदि बिंदु P(x, y), बिंदुओं A(5, 1) और B(-1, 5) से समदूरस्थ है, तो सही संबंध है:</t>
  </si>
  <si>
    <t>3x = 2y</t>
  </si>
  <si>
    <t>2x = 3y</t>
  </si>
  <si>
    <t>बिंदु (-3, 4) की मूल बिंदु से दूरी है:</t>
  </si>
  <si>
    <t>बिंदु (15, 8) की मूल बिंदु से दूरी है:</t>
  </si>
  <si>
    <t>उस त्रिभुज का प्रकार बताएं जिसके शीर्ष (3, 0), (6, 4) और (-1, 3) हैं:</t>
  </si>
  <si>
    <t>समद्विबाहु समकोण</t>
  </si>
  <si>
    <t>यदि बिंदु A(6, 1), B(8, 2), C(9, 4) और D(p, 3) एक समांतर चतुर्भुज के शीर्ष हैं, तो p का मान है:</t>
  </si>
  <si>
    <t>बाह्य विभाजन (External Division) के लिए सूत्र में कौन सा चिन्ह प्रयोग होता है?</t>
  </si>
  <si>
    <t>- (माइनस)</t>
  </si>
  <si>
    <t>× (गुना)</t>
  </si>
  <si>
    <t>÷ (भाग)</t>
  </si>
  <si>
    <t>कार्तीय तल में क्षैतिज और ऊर्ध्वाधर रेखाएँ जहाँ प्रतिच्छेद करती हैं, उसे क्या कहते हैं?</t>
  </si>
  <si>
    <t>चतुर्थांश</t>
  </si>
  <si>
    <t>मूल बिंदु का निर्देशांक क्या है?</t>
  </si>
  <si>
    <t>बिंदु (5, 0) और (0, 4) के बीच की दूरी है:</t>
  </si>
  <si>
    <t>41​</t>
  </si>
  <si>
    <t>यदि दो बिंदुओं के निर्देशांक (a, 0) और (0, a) हैं, तो उनके बीच की दूरी होगी:</t>
  </si>
  <si>
    <t>a2​</t>
  </si>
  <si>
    <t>2a</t>
  </si>
  <si>
    <t>बिंदु A(-2, 8) और B(-6, -4) को मिलाने वाले रेखाखंड का मध्य बिंदु है:</t>
  </si>
  <si>
    <t>(4, -2)</t>
  </si>
  <si>
    <t>बिंदु M(2, -3) और N(2, 2) के बीच की दूरी है:</t>
  </si>
  <si>
    <t>यदि बिंदु (1, 2), (4, y), (x, 6) और (3, 5) इसी क्रम में समांतर चतुर्भुज के शीर्ष हों, तो (x, y) ज्ञात करें।</t>
  </si>
  <si>
    <t>(6, 3)</t>
  </si>
  <si>
    <t>(3, 6)</t>
  </si>
  <si>
    <t>बिंदु (-1, 0), (3, 1), (2, 2) और (-2, 1) एक चतुर्भुज के शीर्ष हैं, वह चतुर्भुज है:</t>
  </si>
  <si>
    <t>आयत</t>
  </si>
  <si>
    <t>समांतर चतुर्भुज</t>
  </si>
  <si>
    <t>समलंब</t>
  </si>
  <si>
    <t>x-अक्ष से 3 इकाई नीचे और y-अक्ष पर स्थित बिंदु के निर्देशांक हैं:</t>
  </si>
  <si>
    <t>(0, -3)</t>
  </si>
  <si>
    <t>(-3, 0)</t>
  </si>
  <si>
    <t>वह अनुपात ज्ञात करें जिसमें बिंदु P(4, m), बिंदुओं A(2, 3) और B(6, -3) को विभाजित करता है:</t>
  </si>
  <si>
    <t>यदि P(a/3, 4) बिंदु Q(-6, 5) और R(-2, 3) के मिलाने वाले रेखाखंड का मध्य बिंदु है, तो a का मान है:</t>
  </si>
  <si>
    <t>बिंदु A(2, -2) और B(-7, 4) को जोड़ने वाले रेखाखंड को समत्रिभाजित करने वाले बिंदुओं में से एक बिंदु है:</t>
  </si>
  <si>
    <t>(-1, 0)</t>
  </si>
  <si>
    <t>(0, -1)</t>
  </si>
  <si>
    <t>त्रिभुज का क्षेत्रफल ज्ञात करें जिसके शीर्ष (2, 3), (-1, 0), (2, -4) हैं:</t>
  </si>
  <si>
    <t>k का मान ज्ञात करें यदि बिंदु A(2, 3), B(4, k) और C(6, -3) संरेख हैं:</t>
  </si>
  <si>
    <t>क्या बिंदु (1, 5), (2, 3) और (-2, -11) संरेख हैं?</t>
  </si>
  <si>
    <t>यदि A(x,y), B(1,2) और C(2,1) से बने त्रिभुज का क्षेत्रफल 6 वर्ग इकाई है, तो x+y का मान हो सकता है:</t>
  </si>
  <si>
    <t>15 या -9</t>
  </si>
  <si>
    <t>चतुर्भुज का क्षेत्रफल ज्ञात करने के लिए उसे कितने त्रिभुजों में बांटा जा सकता है?</t>
  </si>
  <si>
    <t>बिंदु (-4, 5) की दूरी मूल बिंदु से होगी:</t>
  </si>
  <si>
    <t>यदि बिंदु (x, y) बिंदु (a+b, b-a) और (a-b, a+b) से समदूरस्थ हो, तो:</t>
  </si>
  <si>
    <t>bx = ay</t>
  </si>
  <si>
    <t>ax = by</t>
  </si>
  <si>
    <t>बिंदु P(x, y) की x-अक्ष से लांबिक दूरी (Perpendicular distance) क्या है?</t>
  </si>
  <si>
    <t>बिंदु P(x, y) की y-अक्ष से लांबिक दूरी क्या है?</t>
  </si>
  <si>
    <t>यदि किसी वृत्त का केंद्र (2a, a-7) है और वृत्त बिंदु (11, -9) से गुजरता है और व्यास 102​ है, तो a का मान:</t>
  </si>
  <si>
    <t>5 या 3</t>
  </si>
  <si>
    <t>केवल 5</t>
  </si>
  <si>
    <t>केवल 3</t>
  </si>
  <si>
    <t>दो बिंदुओं P और Q के बीच की दूरी ज्ञात करें यदि P(acosθ,0) और Q(0,asinθ) हैं:</t>
  </si>
  <si>
    <t>यदि बिंदु A(0, 0), B(3, 3​) और C(3, λ) एक समबाहु त्रिभुज बनाते हैं, तो λ का मान है:</t>
  </si>
  <si>
    <t>−3​</t>
  </si>
  <si>
    <t>±3​</t>
  </si>
  <si>
    <t>एक रेखाखंड का एक सिरा (4, 0) है और मध्य बिंदु (4, 1) है, तो दूसरा सिरा क्या है?</t>
  </si>
  <si>
    <t>(0, 2)</t>
  </si>
  <si>
    <t>(4, -1)</t>
  </si>
  <si>
    <t>(8, 2)</t>
  </si>
  <si>
    <t>यदि बिंदुओं (3, k) और (k, 5) से बिंदु (0, 2) की दूरियां बराबर हों, तो k का मान:</t>
  </si>
  <si>
    <t>1 या -1</t>
  </si>
  <si>
    <t>वह बिंदु जो बिंदुओं A(-5, 4) और B(-1, 6) को मिलाने वाले रेखाखंड का मध्य बिंदु है:</t>
  </si>
  <si>
    <t>(-3, 5)</t>
  </si>
  <si>
    <t>(-6, 10)</t>
  </si>
  <si>
    <t>(3, -5)</t>
  </si>
  <si>
    <t>त्रिभुज ABC के शीर्ष A(a, 0), B(0, b) और C(0, 0) हैं, इसका क्षेत्रफल है:</t>
  </si>
  <si>
    <t>1/2 ab</t>
  </si>
  <si>
    <t>बिंदु P(-6, 8) की मूल बिंदु से दूरी कितनी है?</t>
  </si>
  <si>
    <t>यदि बिंदु (1, 2) और (3, 8) के बीच की दूरी 40​ है, तो यह कथन:</t>
  </si>
  <si>
    <t>सत्य है</t>
  </si>
  <si>
    <t>असत्य है</t>
  </si>
  <si>
    <t>यदि तीन बिंदु A(1, 4), B(3, y) और C(5, -6) संरेख हों, तो y का मान है:</t>
  </si>
  <si>
    <t>किसी वर्ग के सम्मुख शीर्ष (-1, 2) और (3, 2) हैं। विकर्ण की लंबाई क्या है?</t>
  </si>
  <si>
    <t>8​</t>
  </si>
  <si>
    <t>यदि A(x,2), B(−3,−4) और C(7,−5) संरेख हैं, तो x का मान है:</t>
  </si>
  <si>
    <t>y-अक्ष पर वह बिंदु जो बिंदुओं A(6, 5) और B(-4, 3) से समदूरस्थ है:</t>
  </si>
  <si>
    <t>(-9, 0)</t>
  </si>
  <si>
    <t>यदि बिंदु (x, y), (1, 2) और (7, 0) संरेख हैं, तो संबंध है:</t>
  </si>
  <si>
    <t>x + 3y = 7</t>
  </si>
  <si>
    <t>3x + y = 7</t>
  </si>
  <si>
    <t>x - 3y = 7</t>
  </si>
  <si>
    <t>x + 3y = 0</t>
  </si>
  <si>
    <t>बिंदु P के निर्देशांक क्या होंगे यदि यह A(4, -3) और B(8, 5) को 3:1 के अनुपात में आंतरिक विभाजित करता है?</t>
  </si>
  <si>
    <t>(7, 3)</t>
  </si>
  <si>
    <t>(6, 1)</t>
  </si>
  <si>
    <t>(5, -1)</t>
  </si>
  <si>
    <t>(7, 2)</t>
  </si>
  <si>
    <t>त्रिभुज का केन्द्रक उसकी माध्यिका को किस अनुपात में विभाजित करता है?</t>
  </si>
  <si>
    <t>बिंदु (4, 3) की x-अक्ष से दूरी है:</t>
  </si>
  <si>
    <t>बिंदु (4, 3) की y-अक्ष से दूरी है:</t>
  </si>
  <si>
    <t>बिंदु (-2, 3) और (2, 3) के बीच की दूरी:</t>
  </si>
  <si>
    <t>त्रिकोणमिति का परिचय</t>
  </si>
  <si>
    <t>tan2π​ का मान क्या होगा?</t>
  </si>
  <si>
    <t>3​1​</t>
  </si>
  <si>
    <t>अपरिभाषित (inf)</t>
  </si>
  <si>
    <t>यदि sinθ=53​ हो, तो cosθ का मान क्या होगा?</t>
  </si>
  <si>
    <t>34​</t>
  </si>
  <si>
    <t>43​</t>
  </si>
  <si>
    <t>1+tan2θ का मान बराबर है:,</t>
  </si>
  <si>
    <t>sec2θ</t>
  </si>
  <si>
    <t>cosec2θ</t>
  </si>
  <si>
    <t>tan2θ</t>
  </si>
  <si>
    <t>cot2θ</t>
  </si>
  <si>
    <t>sin(90∘−θ) बराबर होता है:</t>
  </si>
  <si>
    <t>sinθ</t>
  </si>
  <si>
    <t>−sinθ</t>
  </si>
  <si>
    <t>cosθ</t>
  </si>
  <si>
    <t>−cosθ</t>
  </si>
  <si>
    <t>यदि 15cotA=8 हो, तो sinA का मान होगा:</t>
  </si>
  <si>
    <t>1715​</t>
  </si>
  <si>
    <t>1517​</t>
  </si>
  <si>
    <t>178​</t>
  </si>
  <si>
    <t>815​</t>
  </si>
  <si>
    <t>घड़ी की मिनट वाली सुई द्वारा 1 मिनट में बनाया गया कोण होता है:</t>
  </si>
  <si>
    <t>6∘</t>
  </si>
  <si>
    <t>12∘</t>
  </si>
  <si>
    <t>tan1∘⋅tan2∘⋅tan3∘…tan89∘ का मान है:</t>
  </si>
  <si>
    <t>21​</t>
  </si>
  <si>
    <t>यदि tanA=cotB, तो A+B का मान होगा:</t>
  </si>
  <si>
    <t>sec2A−tan2A का मान क्या होता है?</t>
  </si>
  <si>
    <t>यदि sinθ=cosθ, तो θ का मान क्या होगा? (जब 0≤θ≤90∘)</t>
  </si>
  <si>
    <t>sin2θ+cos2θ का मान है:</t>
  </si>
  <si>
    <t>1+cot2A1+tan2A​ बराबर है:</t>
  </si>
  <si>
    <t>sec2A</t>
  </si>
  <si>
    <t>cot2A</t>
  </si>
  <si>
    <t>tan2A</t>
  </si>
  <si>
    <t>यदि sin(A−B)=21​ और cos(A+B)=21​, तो A और B का मान है:</t>
  </si>
  <si>
    <t>A=45∘,B=15∘</t>
  </si>
  <si>
    <t>A=30∘,B=30∘</t>
  </si>
  <si>
    <t>A=60∘,B=30∘</t>
  </si>
  <si>
    <t>A=15∘,B=45∘</t>
  </si>
  <si>
    <t>9sec2A−9tan2A बराबर है: [210 में तर्क]</t>
  </si>
  <si>
    <t>निम्न में से किसका मान 3​1​ है?</t>
  </si>
  <si>
    <t>sin30∘</t>
  </si>
  <si>
    <t>tan30∘</t>
  </si>
  <si>
    <t>cos60∘</t>
  </si>
  <si>
    <t>tan60∘</t>
  </si>
  <si>
    <t>यदि 3cotA=4, तो tanA का मान होगा:</t>
  </si>
  <si>
    <t>35​</t>
  </si>
  <si>
    <t>sin18∘/cos72∘ का मान है: [190 के तर्क पर]</t>
  </si>
  <si>
    <t>23​​</t>
  </si>
  <si>
    <t>यदि θ=90∘, तो sinθ−cosθ का मान है:</t>
  </si>
  <si>
    <t>cosecθ बराबर होता है:</t>
  </si>
  <si>
    <t>sinθ1​</t>
  </si>
  <si>
    <t>cosθ1​</t>
  </si>
  <si>
    <t>2tan30∘/(1−tan230∘) बराबर है: [सूत्र आधारित]</t>
  </si>
  <si>
    <t>sin60∘</t>
  </si>
  <si>
    <t>यदि sin3A=cos(A−26∘), जहाँ 3A न्यूनकोण है, तो A का मान है:</t>
  </si>
  <si>
    <t>26∘</t>
  </si>
  <si>
    <t>29∘</t>
  </si>
  <si>
    <t>त्रिकोणमिति के अनुप्रयोग</t>
  </si>
  <si>
    <t>सर्कस का एक कलाकार 20 मीटर लंबी डोर पर चढ़ रहा है जो भूमि के साथ 30∘ का कोण बनाती है। खम्भे की ऊँचाई क्या है?</t>
  </si>
  <si>
    <t>10 m</t>
  </si>
  <si>
    <t>15 m</t>
  </si>
  <si>
    <t>5 m</t>
  </si>
  <si>
    <t>भूमि के एक बिंदु से मीनार के पाद-बिंदु की दूरी 30m है और उन्नयन कोण 30∘ है। मीनार की ऊँचाई है:</t>
  </si>
  <si>
    <t>103​ m</t>
  </si>
  <si>
    <t>303​ m</t>
  </si>
  <si>
    <t>153​ m</t>
  </si>
  <si>
    <t>यदि एक मीनार की छाया की लंबाई उसकी ऊँचाई की 3​ गुनी है, तो सूर्य का उन्नयन कोण है: [9 पर आधारित]</t>
  </si>
  <si>
    <t>आर्यभट ने किस ग्रंथ में ज्या (sine) का उल्लेख किया है?</t>
  </si>
  <si>
    <t>लीलावती</t>
  </si>
  <si>
    <t>आर्यभटीय</t>
  </si>
  <si>
    <t>ब्रह्मस्फुटसिद्धान्त</t>
  </si>
  <si>
    <t>सूर्य सिद्धांत</t>
  </si>
  <si>
    <t>π (पाई) का मान आर्यभट ने लगभग कितना बताया?</t>
  </si>
  <si>
    <t>निम्न में से कौन secA के बराबर है?</t>
  </si>
  <si>
    <t>cosA1​</t>
  </si>
  <si>
    <t>sinA1​</t>
  </si>
  <si>
    <t>tanA1​</t>
  </si>
  <si>
    <t>cotA1​</t>
  </si>
  <si>
    <t>tan50∘+cot40∘ का मान हो सकता है:</t>
  </si>
  <si>
    <t>2tan50∘</t>
  </si>
  <si>
    <t>2tan40∘</t>
  </si>
  <si>
    <t>मूल बिंदु से बिंदु P(x,y) की दूरी का सूत्र क्या है? (पाइथागोरस प्रमेय अनुप्रयोग)</t>
  </si>
  <si>
    <t>tan260∘ का मान है:</t>
  </si>
  <si>
    <t>यदि tanθ=158​ हो, तो cosecθ का मान होगा:</t>
  </si>
  <si>
    <t>817​</t>
  </si>
  <si>
    <t>1+cot2A का मान बराबर होता है:</t>
  </si>
  <si>
    <t>cosec2A</t>
  </si>
  <si>
    <t>cos2θsin2θ​ का मान क्या है?</t>
  </si>
  <si>
    <t>cos(90∘−θ) किसके बराबर है?</t>
  </si>
  <si>
    <t>यदि 5cosθ=3, तो 3tanθ का मान होगा:</t>
  </si>
  <si>
    <t>निम्न में से किसका मान 0 के बराबर है?</t>
  </si>
  <si>
    <t>sin90∘</t>
  </si>
  <si>
    <t>cos90∘</t>
  </si>
  <si>
    <t>cos0∘</t>
  </si>
  <si>
    <t>tan45∘</t>
  </si>
  <si>
    <t>यदि 3​tanθ=1, तो θ का मान है:</t>
  </si>
  <si>
    <t>sec2θ−1 का मान है:</t>
  </si>
  <si>
    <t>sin2θ</t>
  </si>
  <si>
    <t>1+tan230∘2tan30∘​ का मान है:</t>
  </si>
  <si>
    <t>1−cos2θ बराबर है:</t>
  </si>
  <si>
    <t>1−sin2θ</t>
  </si>
  <si>
    <t>sinθ×cosecθ का मान है:</t>
  </si>
  <si>
    <t>यदि A=30∘, तो cos2A का मान होगा:</t>
  </si>
  <si>
    <t>2​1​</t>
  </si>
  <si>
    <t>tan45∘ का मान क्या होता है?</t>
  </si>
  <si>
    <t>cosec2A−1 का मान है:</t>
  </si>
  <si>
    <t>cos2A</t>
  </si>
  <si>
    <t>tan(90∘−A) बराबर है:</t>
  </si>
  <si>
    <t>cotA</t>
  </si>
  <si>
    <t>secA</t>
  </si>
  <si>
    <t>tanA</t>
  </si>
  <si>
    <t>sinA</t>
  </si>
  <si>
    <t>यदि sinA=31​, तो cosA का मान क्या है?</t>
  </si>
  <si>
    <t>322​​</t>
  </si>
  <si>
    <t>32​​</t>
  </si>
  <si>
    <t>cos48∘−sin42∘​ का मान है:</t>
  </si>
  <si>
    <t>यदि tanθ=3​, तो secθ है:</t>
  </si>
  <si>
    <t>3​2​</t>
  </si>
  <si>
    <t>1+tan245∘1−tan245∘​ बराबर है:</t>
  </si>
  <si>
    <t>tan90∘</t>
  </si>
  <si>
    <t>sin45∘</t>
  </si>
  <si>
    <t>sin30∘+cos60∘ का मान है:</t>
  </si>
  <si>
    <t>यदि 2sin2θ=3​, तो θ बराबर है:</t>
  </si>
  <si>
    <t>15∘</t>
  </si>
  <si>
    <t>9sec2θ−9tan2θ बराबर है:</t>
  </si>
  <si>
    <t>cosA का अधिकतम मान होता है:</t>
  </si>
  <si>
    <t>∞</t>
  </si>
  <si>
    <t>sec(90∘−A) किसके समान है?</t>
  </si>
  <si>
    <t>cosecA</t>
  </si>
  <si>
    <t>cosA</t>
  </si>
  <si>
    <t>cos72∘sin18∘​ का मान है:</t>
  </si>
  <si>
    <t>tanθ का मान अपरिभाषित कब होता है?</t>
  </si>
  <si>
    <t>θ=0∘</t>
  </si>
  <si>
    <t>θ=30∘</t>
  </si>
  <si>
    <t>θ=60∘</t>
  </si>
  <si>
    <t>θ=90∘</t>
  </si>
  <si>
    <t>यदि cosθ=x, तो sinθ का मान x के पदों में:</t>
  </si>
  <si>
    <t>1−x2​</t>
  </si>
  <si>
    <t>1+x2​</t>
  </si>
  <si>
    <t>1−x2</t>
  </si>
  <si>
    <t>1+x2</t>
  </si>
  <si>
    <t>sin222∘+cos222∘ का मान है:</t>
  </si>
  <si>
    <t>यदि tanθ=34​, तो sinθ+cosθ का मान है:</t>
  </si>
  <si>
    <t>57​</t>
  </si>
  <si>
    <t>75​</t>
  </si>
  <si>
    <t>53​</t>
  </si>
  <si>
    <t>1−sinAcos2A​ का सरल रूप है:</t>
  </si>
  <si>
    <t>1−sinA</t>
  </si>
  <si>
    <t>1+sinA</t>
  </si>
  <si>
    <t>1+cosA</t>
  </si>
  <si>
    <t>1−cosA</t>
  </si>
  <si>
    <t>यदि 2​cosθ=1, तो θ का मान है:</t>
  </si>
  <si>
    <t>1+tan2A/1+cot2A बराबर है:</t>
  </si>
  <si>
    <t>sin2A=2sinA तब सत्य होता है जब A बराबर हो:</t>
  </si>
  <si>
    <t>0∘</t>
  </si>
  <si>
    <t>cosec45∘ का मान क्या है?</t>
  </si>
  <si>
    <t>sin(A+B) का मान यदि sinAcosB+cosAsinB है, तो sin75∘ क्या होगा?</t>
  </si>
  <si>
    <t>22​3​+1​</t>
  </si>
  <si>
    <t>22​3​−1​</t>
  </si>
  <si>
    <t>tan10∘⋅tan15∘⋅tan75∘⋅tan80∘ का मान है:</t>
  </si>
  <si>
    <t>sec2θ+cosec2θ बराबर है:</t>
  </si>
  <si>
    <t>sec2θ⋅cosec2θ</t>
  </si>
  <si>
    <t>2secθ</t>
  </si>
  <si>
    <t>यदि 3θ=90∘, तो cosθ बराबर है:</t>
  </si>
  <si>
    <t>sinθ1+cosθ​ बराबर है:</t>
  </si>
  <si>
    <t>tan2θ​</t>
  </si>
  <si>
    <t>cot2θ​</t>
  </si>
  <si>
    <t>secθ</t>
  </si>
  <si>
    <t>cosecθ+cotθ</t>
  </si>
  <si>
    <t>निम्न में से कौन cosθ के बराबर है?</t>
  </si>
  <si>
    <t>sin2θ−1​</t>
  </si>
  <si>
    <t>1−sin2θ​</t>
  </si>
  <si>
    <t>1+sin2θ​</t>
  </si>
  <si>
    <t>sin60∘⋅cos30∘−cos60∘⋅sin30∘ का मान है:</t>
  </si>
  <si>
    <t>ΔABC में ∠C=90∘, तो cos(A+B) का मान है:</t>
  </si>
  <si>
    <t>cot(90∘−θ) बराबर है:</t>
  </si>
  <si>
    <t>tanθ</t>
  </si>
  <si>
    <t>cosecθ</t>
  </si>
  <si>
    <t>यदि 5tanα=4, तो 5sinα+2cosα5sinα−3cosα​ का मान है:</t>
  </si>
  <si>
    <t>61​</t>
  </si>
  <si>
    <t>51​</t>
  </si>
  <si>
    <t>secθ+tanθ=x, तो secθ का मान है:</t>
  </si>
  <si>
    <t>2xx2+1​</t>
  </si>
  <si>
    <t>2xx2−1​</t>
  </si>
  <si>
    <t>xx2+1​</t>
  </si>
  <si>
    <t>xx2−1​</t>
  </si>
  <si>
    <t>tan30∘⋅sin30∘⋅cot60∘⋅cosec30∘ का मान है:</t>
  </si>
  <si>
    <t>यदि A+B=90∘, तो cosA बराबर है:</t>
  </si>
  <si>
    <t>cosB</t>
  </si>
  <si>
    <t>sinB</t>
  </si>
  <si>
    <t>1−tan230∘2tan30∘​ बराबर है:</t>
  </si>
  <si>
    <t>1+cot2θ1−cos2θ​ का मान क्या होगा?</t>
  </si>
  <si>
    <t>sin4θ</t>
  </si>
  <si>
    <t>cos4θ</t>
  </si>
  <si>
    <t>cos4A−sin4A बराबर है:</t>
  </si>
  <si>
    <t>2cos2A−1</t>
  </si>
  <si>
    <t>2sin2A−1</t>
  </si>
  <si>
    <t>sin2A−cos2A</t>
  </si>
  <si>
    <t>1−sinA1+sinA​​ बराबर है:</t>
  </si>
  <si>
    <t>secA+tanA</t>
  </si>
  <si>
    <t>secA−tanA</t>
  </si>
  <si>
    <t>cosecA+cotA</t>
  </si>
  <si>
    <t>cosecA−cotA</t>
  </si>
  <si>
    <t>tan2θ−sec2θ का मान है:</t>
  </si>
  <si>
    <t>cos(1∘)⋅cos(2∘)⋅cos(3∘)…cos(180∘) बराबर है:</t>
  </si>
  <si>
    <t>यदि sec4A=cosec(A−20∘), तो A का मान है:</t>
  </si>
  <si>
    <t>22∘</t>
  </si>
  <si>
    <t>24∘</t>
  </si>
  <si>
    <t>sin263∘+sin227∘ का मान है:</t>
  </si>
  <si>
    <t>सूर्य का उन्नयन कोण जब छाया की लम्बाई और खंभे की ऊँचाई बराबर हो:</t>
  </si>
  <si>
    <t>6 मीटर ऊंचे खंभे की छाया पृथ्वी पर 23​ मीटर लंबी है, तो सूर्य का उन्नयन कोण है:</t>
  </si>
  <si>
    <t>एक पतंग की डोरी 100 मीटर लंबी है और यह क्षैतिज से 60∘ का कोण बनाती है। पतंग की ऊँचाई (sin 60 का प्रयोग करें):</t>
  </si>
  <si>
    <t>503​ m</t>
  </si>
  <si>
    <t>1003​ m</t>
  </si>
  <si>
    <t>50 m</t>
  </si>
  <si>
    <t>एक मीनार के पाद से 15 मीटर दूर स्थित बिंदु पर मीनार की चोटी का उन्नयन कोण 60∘ है। मीनार की ऊँचाई है:</t>
  </si>
  <si>
    <t>203​ m</t>
  </si>
  <si>
    <t>अवनमन कोण (Angle of Depression) और उन्नयन कोण (Angle of Elevation) में क्या संबंध होता है?</t>
  </si>
  <si>
    <t>एकांतर कोण (समान)</t>
  </si>
  <si>
    <t>संगत कोण</t>
  </si>
  <si>
    <t>पूरक कोण</t>
  </si>
  <si>
    <t>कोई संबंध नहीं</t>
  </si>
  <si>
    <t>12 मीटर ऊंचे खंभे की छाया 4\sqrt{3} मीटर है, सूर्य का उन्नयन कोण क्या है?</t>
  </si>
  <si>
    <t>यदि मीनार की ऊंचाई और उसकी छाया की लंबाई का अनुपात 1:3​ है, तो उन्नयन कोण है:</t>
  </si>
  <si>
    <t>एक सीढ़ी दीवार के साथ 60∘ का कोण बनाती है और उसका पैर दीवार से 2 मीटर दूर है। सीढ़ी की लंबाई है:</t>
  </si>
  <si>
    <t>2 m</t>
  </si>
  <si>
    <t>4 m</t>
  </si>
  <si>
    <t>3 m</t>
  </si>
  <si>
    <t>एक गुब्बारा जमीन से 88.2m ऊंचाई पर है, उन्नयन कोण 60 से 30 हो जाता है। गुब्बारे द्वारा तय दूरी में प्रयुक्त सूत्र है:</t>
  </si>
  <si>
    <t>आंधी आने से पेड़ का ऊपरी हिस्सा टूटकर जमीन से 30∘ कोण बनाता है। पेड़ की जड़ से शिखर की दूरी 8m है। पेड़ की ऊंचाई थी:</t>
  </si>
  <si>
    <t>83​ m</t>
  </si>
  <si>
    <t>243​ m</t>
  </si>
  <si>
    <t>163​ m</t>
  </si>
  <si>
    <t>50m ऊंची मीनार से एक कार का अवनमन कोण 30∘ है। कार की मीनार से दूरी है:</t>
  </si>
  <si>
    <t>50/3​ m</t>
  </si>
  <si>
    <t>जब सूर्य का उन्नयन कोण 45∘ से 60∘ हो जाता है, तो मीनार की छाया:</t>
  </si>
  <si>
    <t>बढ़ जाती है</t>
  </si>
  <si>
    <t>घट जाती है</t>
  </si>
  <si>
    <t>समान रहती है</t>
  </si>
  <si>
    <t>एक 1.5m लंबा प्रेक्षक एक चिमनी से 28.5m दूर है। उसकी आँखों से चिमनी के शिखर का उन्नयन कोण 45∘ है। चिमनी की ऊँचाई है:</t>
  </si>
  <si>
    <t>28.5 m</t>
  </si>
  <si>
    <t>30 m</t>
  </si>
  <si>
    <t>27 m</t>
  </si>
  <si>
    <t>31.5 m</t>
  </si>
  <si>
    <t>cotθ⋅tanθ का मान है:</t>
  </si>
  <si>
    <t>1/secθ का मान अधिकतम कब होता है?</t>
  </si>
  <si>
    <t>sin2A+1+tan2A1​ का मान है:</t>
  </si>
  <si>
    <t>sin(45∘+θ)−cos(45∘−θ) बराबर है:</t>
  </si>
  <si>
    <t>2sinθ</t>
  </si>
  <si>
    <t>2cosθ</t>
  </si>
  <si>
    <t>यदि x=acosθ और y=bsinθ, तो b2x2+a2y2 बराबर है:</t>
  </si>
  <si>
    <t>a2b2</t>
  </si>
  <si>
    <t>a2+b2</t>
  </si>
  <si>
    <t>cosec(75∘+θ)−sec(15∘−θ) का मान है:</t>
  </si>
  <si>
    <t>2θ</t>
  </si>
  <si>
    <t>यदि tanA=1 और tanB=3​, तो cos(A+B) का मान होगा:</t>
  </si>
  <si>
    <t>22​1−3​​</t>
  </si>
  <si>
    <t>cos(A+B)⋅cos(A−B) बराबर है:</t>
  </si>
  <si>
    <t>cos2A−sin2B</t>
  </si>
  <si>
    <t>cos2A−cos2B</t>
  </si>
  <si>
    <t>sin2A−sin2B</t>
  </si>
  <si>
    <t>sin2A−cos2B</t>
  </si>
  <si>
    <t>sin2A का सूत्र tanA के पदों में है:</t>
  </si>
  <si>
    <t>1−tan2A2tanA​</t>
  </si>
  <si>
    <t>1+tan2A2tanA​</t>
  </si>
  <si>
    <t>1+tan2AtanA​</t>
  </si>
  <si>
    <t>1−cot2A2tanA​</t>
  </si>
  <si>
    <t>cos2A का सूत्र tanA के पदों में है:</t>
  </si>
  <si>
    <t>1+tan2A1−tan2A​</t>
  </si>
  <si>
    <t>1−tan2A1+tan2A​</t>
  </si>
  <si>
    <t>1+tanA1−tanA​</t>
  </si>
  <si>
    <t>tan2A का सूत्र है:</t>
  </si>
  <si>
    <t>2tanA1−tan2A​</t>
  </si>
  <si>
    <t>2tanA1+tan2A​</t>
  </si>
  <si>
    <t>cotθ बराबर है:</t>
  </si>
  <si>
    <t>cosθsinθ​</t>
  </si>
  <si>
    <t>sinθcosθ​</t>
  </si>
  <si>
    <t>cot25∘tan65∘​ का मान है:</t>
  </si>
  <si>
    <t>sin2θ+1+tan2θ1​ का मान क्या है?</t>
  </si>
  <si>
    <t>cos2θ</t>
  </si>
  <si>
    <t>यदि sinθ=cosθ, तो 2tan2θ+sin2θ−1 का मान है:</t>
  </si>
  <si>
    <t>−21​</t>
  </si>
  <si>
    <t>7sin2θ+3cos2θ=4, तो tanθ का मान है:</t>
  </si>
  <si>
    <t>(secA+tanA)(1−sinA) बराबर है:</t>
  </si>
  <si>
    <t>1+cot2A1+tan2A​ बराबर है (PYQ):</t>
  </si>
  <si>
    <t>cos4x−sin4x का मान है:</t>
  </si>
  <si>
    <t>2sin2x−1</t>
  </si>
  <si>
    <t>1−2sin2x</t>
  </si>
  <si>
    <t>1−2cos2x</t>
  </si>
  <si>
    <t>यदि secθ+tanθ=p, तो secθ−tanθ होगा:</t>
  </si>
  <si>
    <t>1/p</t>
  </si>
  <si>
    <t>−p</t>
  </si>
  <si>
    <t>p2</t>
  </si>
  <si>
    <t>sinθ=ba​ तो cosθ बराबर है:</t>
  </si>
  <si>
    <t>b2−a2​b​</t>
  </si>
  <si>
    <t>bb2−a2​​</t>
  </si>
  <si>
    <t>b2−a2​a​</t>
  </si>
  <si>
    <t>ab​</t>
  </si>
  <si>
    <t>sin50∘/cos40∘ का मान है:</t>
  </si>
  <si>
    <t>2cos3θ=1, तो θ का मान है:</t>
  </si>
  <si>
    <t>10∘</t>
  </si>
  <si>
    <t>यदि A,B,C त्रिभुज के कोण हैं, तो sin(2B+C​) बराबर है:</t>
  </si>
  <si>
    <t>sin2A​</t>
  </si>
  <si>
    <t>cos2A​</t>
  </si>
  <si>
    <t>tan2A​</t>
  </si>
  <si>
    <t>sec2A​</t>
  </si>
  <si>
    <t>cos1∘⋅cos2∘⋅cos3∘…cos90∘ का मान है:</t>
  </si>
  <si>
    <t>यदि tanθ=512​, तो sinθ का मान है:</t>
  </si>
  <si>
    <t>125​</t>
  </si>
  <si>
    <t>1312​</t>
  </si>
  <si>
    <t>135​</t>
  </si>
  <si>
    <t>512​</t>
  </si>
  <si>
    <t>(1+tanθ+secθ)(1+cotθ−cosecθ) का मान है (PYQ):</t>
  </si>
  <si>
    <t>sinA=cosA में A का मान 0∘&lt;A&lt;90∘ के लिए:</t>
  </si>
  <si>
    <t>यदि x=asecθ,y=btanθ, तो a2x2​−b2y2​ बराबर है:</t>
  </si>
  <si>
    <t>1−cosθsin2θ​ का मान क्या है?</t>
  </si>
  <si>
    <t>1+sinθ</t>
  </si>
  <si>
    <t>1+cosθ</t>
  </si>
  <si>
    <t>1−sinθ</t>
  </si>
  <si>
    <t>1−cosθ</t>
  </si>
  <si>
    <t>घड़ी की मिनट की सुई 60 मिनट में कितना कोण बनाती है?</t>
  </si>
  <si>
    <t>आर्यभट ने π का मान लगभग कितना बताया था? (स्रोत आधारित)</t>
  </si>
  <si>
    <t>त्रिकोणमिति के कुछ अनुप्रयोग</t>
  </si>
  <si>
    <t>यदि एक खंभे की छाया की लंबाई खंभे की लंबाई के बराबर है, तो सूर्य का उन्नयन कोण क्या होगा?</t>
  </si>
  <si>
    <t>30°</t>
  </si>
  <si>
    <t>45°</t>
  </si>
  <si>
    <t>60°</t>
  </si>
  <si>
    <t>90°</t>
  </si>
  <si>
    <t>एक 6 मीटर ऊंचे खंभे की छाया पृथ्वी पर 2√3 मीटर लंबी है, तो सूर्य का उन्नयन कोण है:</t>
  </si>
  <si>
    <t>15°</t>
  </si>
  <si>
    <t>सर्कस का एक कलाकार एक 20 m लंबी डोर पर चढ़ रहा है जो भूमि के साथ 30° का कोण बनाती है। खंभे की ऊँचाई ज्ञात करें।</t>
  </si>
  <si>
    <t>उन्नयन कोण और अवनमन कोण में क्या संबंध होता है?,</t>
  </si>
  <si>
    <t>अवनमन कोण बड़ा होता है</t>
  </si>
  <si>
    <t>उन्नयन कोण बड़ा होता है</t>
  </si>
  <si>
    <t>दोनों समान होते हैं</t>
  </si>
  <si>
    <t>कोई संबंध नहीं है</t>
  </si>
  <si>
    <t>यदि मीनार के पाद से 30 मीटर की दूरी पर स्थित एक बिंदु से मीनार के शिखर का उन्नयन कोण 30° है, तो मीनार की ऊँचाई क्या है?</t>
  </si>
  <si>
    <t>10√3 m</t>
  </si>
  <si>
    <t>20√3 m</t>
  </si>
  <si>
    <t>भूमि से 100 मीटर की ऊँचाई पर एक पतंग उड़ रही है, यदि डोरी 60° का कोण बनाती है, तो डोरी की लंबाई क्या होगी?-</t>
  </si>
  <si>
    <t>100√3 m</t>
  </si>
  <si>
    <t>200/√3 m</t>
  </si>
  <si>
    <t>जब कोई व्यक्ति नीचे से ऊपर की ओर देखता है, तो दृष्टि रेखा और क्षैतिज रेखा के बीच बने कोण को क्या कहते हैं?</t>
  </si>
  <si>
    <t>अवनमन कोण</t>
  </si>
  <si>
    <t>उन्नयन कोण</t>
  </si>
  <si>
    <t>अधिक कोण</t>
  </si>
  <si>
    <t>जब कोई व्यक्ति ऊपर से नीचे की ओर देखता है, तो दृष्टि रेखा और क्षैतिज रेखा के बीच बने कोण को क्या कहते हैं?</t>
  </si>
  <si>
    <t>सरल कोण</t>
  </si>
  <si>
    <t>एक खंभे की ऊँचाई 12 मीटर है और उसकी छाया की लंबाई 4√3 मीटर है। सूर्य का उन्नयन कोण ज्ञात करें।</t>
  </si>
  <si>
    <t>आँधी आने से एक पेड़ टूट जाता है और शिखर जमीन को छूता है, जहाँ कोण 30° बनता है। पेड़ के पाद से दूरी 8 m है। पेड़ की कुल ऊँचाई क्या थी?</t>
  </si>
  <si>
    <t>8 m</t>
  </si>
  <si>
    <t>8√3 m</t>
  </si>
  <si>
    <t>24 m</t>
  </si>
  <si>
    <t>12 m</t>
  </si>
  <si>
    <t>5 मीटर ऊँची मीनार के पाद बिंदु से 5 मीटर दूर स्थित बिंदु पर मीनार की चोटी का उन्नयन कोण क्या होगा?</t>
  </si>
  <si>
    <t>यदि किसी खंभे की छाया की लंबाई उसकी ऊँचाई की √3 गुनी है, तो उन्नयन कोण क्या होगा?</t>
  </si>
  <si>
    <t>75°</t>
  </si>
  <si>
    <t>एक 1.5 मीटर लंबा प्रेक्षक एक चिमनी से 28.5 मीटर की दूरी पर है। उसकी आँखों से चिमनी के शिखर का उन्नयन कोण 45° है। चिमनी की ऊँचाई बताइए।-</t>
  </si>
  <si>
    <t>25 m ऊँची पहाड़ी की चोटी से एक मीनार के शिखर का उन्नयन कोण उसके पाद के अवनमन कोण के बराबर है। मीनार की ऊँचाई है:</t>
  </si>
  <si>
    <t>25 m</t>
  </si>
  <si>
    <t>75 m</t>
  </si>
  <si>
    <t>यदि सूर्य का उन्नयन कोण 60° है, तो 30 मीटर लंबी छाया बनाने वाले उदग्र मीनार की ऊँचाई है:-</t>
  </si>
  <si>
    <t>30/√3 m</t>
  </si>
  <si>
    <t>30√3 m</t>
  </si>
  <si>
    <t>15√2 m</t>
  </si>
  <si>
    <t>tan 60° का मान क्या होता है? (ऊँचाई और दूरी में प्रयुक्त)</t>
  </si>
  <si>
    <t>1/√3</t>
  </si>
  <si>
    <t>√3</t>
  </si>
  <si>
    <t>sin 30° का मान क्या होता है?</t>
  </si>
  <si>
    <t>√3/2</t>
  </si>
  <si>
    <t>एक पतंग भूमि से 60 m की ऊँचाई पर उड़ रही है। डोरी का भूमि के साथ झुकाव 60° है। डोरी की लंबाई क्या है?</t>
  </si>
  <si>
    <t>40√3 m</t>
  </si>
  <si>
    <t>120 m</t>
  </si>
  <si>
    <t>60 m</t>
  </si>
  <si>
    <t>किसी समय एक स्तंभ की छाया की लंबाई उसकी ऊँचाई की 1/√3 गुनी है। सूर्य का उन्नयन कोण है:</t>
  </si>
  <si>
    <t>उन्नयन कोण (Angle of Elevation) बनता है जब हम देखते हैं:</t>
  </si>
  <si>
    <t>अपनी आँखों के स्तर से नीचे</t>
  </si>
  <si>
    <t>अपनी आँखों के स्तर से ऊपर</t>
  </si>
  <si>
    <t>अपनी आँखों के स्तर पर</t>
  </si>
  <si>
    <t>आँखें बंद करके</t>
  </si>
  <si>
    <t>यदि एक मीनार की ऊँचाई 50 मीटर है और सूर्य का उन्नयन कोण 30° है, तो मीनार की छाया की लंबाई क्या होगी?</t>
  </si>
  <si>
    <t>50√3 m</t>
  </si>
  <si>
    <t>50/√3 m</t>
  </si>
  <si>
    <t>tan 45° का मान क्या है?</t>
  </si>
  <si>
    <t>दृष्टि रेखा (Line of Sight) वह रेखा है जो हमारी आँख को जोड़ती है:</t>
  </si>
  <si>
    <t>क्षैतिज तल से</t>
  </si>
  <si>
    <t>उस वस्तु से जिसे हम देख रहे हैं</t>
  </si>
  <si>
    <t>हमारे पैरों से</t>
  </si>
  <si>
    <t>सूर्य से</t>
  </si>
  <si>
    <t>एक 6 मीटर ऊंचे वृक्ष की छाया 4 मीटर लंबी है। उसी समय एक खंभे की छाया 50 मीटर लंबी है। खंभे की ऊँचाई ज्ञात करें (समरूपता के आधार पर)।</t>
  </si>
  <si>
    <t>भूमि के एक बिंदु से, जो मीनार के पाद-बिंदु से 30 m की दूरी पर है, मीनार के शिखर का उन्नयन कोण 30° है। मीनार की ऊँचाई है:</t>
  </si>
  <si>
    <t>15√3 m</t>
  </si>
  <si>
    <t>यदि सूर्य का उन्नयन कोण 60° से घटकर 30° हो जाता है, तो एक मीनार की छाया 40 मीटर बढ़ जाती है। मीनार की ऊँचाई है:</t>
  </si>
  <si>
    <t>12 मीटर ऊंचे खंभे की जमीन पर पड़ रही छाया की लंबाई 4√3 मीटर है। सूर्य का उन्नयन कोण क्या है?</t>
  </si>
  <si>
    <t>दो खंभे जिनकी ऊँचाईयाँ 6 m और 11 m हैं, समतल भूमि पर खड़े हैं। यदि उनके पाद बिंदुओं के बीच की दूरी 12 m है, तो उनके शिखरों के बीच की दूरी क्या है?</t>
  </si>
  <si>
    <t>13 m</t>
  </si>
  <si>
    <t>14 m</t>
  </si>
  <si>
    <t>एक मीनार के शिखर का उन्नयन कोण उसके पाद से 15 मीटर की दूरी पर 60° है। मीनार की ऊँचाई ज्ञात करें।-</t>
  </si>
  <si>
    <t>15/√3 m</t>
  </si>
  <si>
    <t>यदि कोई खंभा 12 मीटर ऊँचा है और उसकी छाया पृथ्वी पर 4√3 मीटर लंबी है, तो सूर्य का कोण है:</t>
  </si>
  <si>
    <t>एक 80 m चौड़ी सड़क के दोनों ओर समान ऊँचाई वाले दो खंभे लगे हैं। सड़क के एक बिंदु से शिखर के उन्नयन कोण 60° और 30° हैं। खंभों की ऊँचाई ज्ञात करें।</t>
  </si>
  <si>
    <t>क्षैतिज रेखा (Horizontal Line) वह रेखा है जो:</t>
  </si>
  <si>
    <t>प्रेक्षक की आँख से पृथ्वी के समांतर जाती है</t>
  </si>
  <si>
    <t>प्रेक्षक की आँख से वस्तु को जोड़ती है</t>
  </si>
  <si>
    <t>लंबवत होती है</t>
  </si>
  <si>
    <t>यदि θ = 45° है, तो tan θ का मान क्या होगा?</t>
  </si>
  <si>
    <t>एक सीढ़ी दीवार के साथ 60° का कोण बनाती है और उसका पाद दीवार से 2.5 मीटर की दूरी पर है। सीढ़ी की लंबाई है:</t>
  </si>
  <si>
    <t>2.5 m</t>
  </si>
  <si>
    <t>4.5 m</t>
  </si>
  <si>
    <t>यदि एक मीनार की छाया की लंबाई उसकी ऊँचाई के बराबर है, तो कोण होगा:</t>
  </si>
  <si>
    <t>π/3</t>
  </si>
  <si>
    <t>π/4</t>
  </si>
  <si>
    <t>π/6</t>
  </si>
  <si>
    <t>π/2</t>
  </si>
  <si>
    <t>7 मीटर ऊंचे भवन के शिखर से एक केबल टॉवर के शिखर का उन्नयन कोण 60° है और पाद का अवनमन कोण 45° है। टॉवर की ऊँचाई ज्ञात कीजिए।</t>
  </si>
  <si>
    <t>7(√3 + 1) m</t>
  </si>
  <si>
    <t>7√3 m</t>
  </si>
  <si>
    <t>7(√3 - 1) m</t>
  </si>
  <si>
    <t>भूमि के एक बिंदु से मीनार के शिखर का उन्नयन कोण 30° है। मीनार की ओर 20 मीटर चलने पर उन्नयन कोण 60° हो जाता है। मीनार की ऊँचाई है:</t>
  </si>
  <si>
    <t>यदि सूर्य का उन्नयन कोण 45° है, तो h मीटर ऊंचे खंभे की छाया की लंबाई क्या होगी?</t>
  </si>
  <si>
    <t>h√3</t>
  </si>
  <si>
    <t>h/√3</t>
  </si>
  <si>
    <t>h</t>
  </si>
  <si>
    <t>h/2</t>
  </si>
  <si>
    <t>एक पतंग की डोरी 100 मीटर लंबी है और यह क्षैतिज तल से 60° का कोण बनाती है। पतंग की ऊँचाई (sin 60° = √3/2 का प्रयोग करें):</t>
  </si>
  <si>
    <t>cosec 30° का मान क्या होता है? (ऊँचाई और दूरी में कर्ण/लंब के लिए)</t>
  </si>
  <si>
    <t>√2</t>
  </si>
  <si>
    <t>2/√3</t>
  </si>
  <si>
    <t>cos 60° का मान है:</t>
  </si>
  <si>
    <t>1/√2</t>
  </si>
  <si>
    <t>यदि एक मीनार की छाया की लंबाई बढ़ रही है, तो सूर्य का उन्नयन कोण:</t>
  </si>
  <si>
    <t>बढ़ रहा है</t>
  </si>
  <si>
    <t>घट रहा है</t>
  </si>
  <si>
    <t>समान रहता है</t>
  </si>
  <si>
    <t>एक 1.5 मीटर लंबी लड़की एक लैम्प-पोस्ट से दूर जा रही है। यदि लैम्प-पोस्ट 4.5 मीटर ऊँचा है, तो छाया की लंबाई और लड़की की दूरी का अनुपात क्या होगा? (थेल्स प्रमेय/समरूपता आधारित)</t>
  </si>
  <si>
    <t>1:3</t>
  </si>
  <si>
    <t>यदि पेड़ की ऊँचाई और उसकी छाया बराबर हो, तो सूर्य का उन्नयन कोण है:</t>
  </si>
  <si>
    <t>एक समकोण त्रिभुज में कर्ण का वर्ग अन्य दो भुजाओं के वर्गों के ____ के बराबर होता है।</t>
  </si>
  <si>
    <t>क्षैतिज तल से ऊपर की वस्तु को देखने पर दृष्टि रेखा और क्षैतिज रेखा के बीच का कोण कहलाता है:</t>
  </si>
  <si>
    <t>क्षैतिज तल से नीचे की वस्तु को देखने पर दृष्टि रेखा और क्षैतिज रेखा के बीच का कोण कहलाता है:</t>
  </si>
  <si>
    <t>प्रतिवर्ती कोण</t>
  </si>
  <si>
    <t>यदि उन्नयन कोण θ है और tanθ=1 है, तो θ का मान क्या है?</t>
  </si>
  <si>
    <t>एक सीढ़ी दीवार के साथ 60° का कोण बनाती है। यदि सीढ़ी की लंबाई 10 मीटर है, तो दीवार की ऊँचाई ज्ञात करें (sin 60° का प्रयोग करें)।</t>
  </si>
  <si>
    <t>53​ m</t>
  </si>
  <si>
    <t>यदि सूर्य का उन्नयन कोण 45° है, तो 10 मीटर ऊंचे खंभे की छाया की लंबाई होगी:</t>
  </si>
  <si>
    <t>tan30∘ का मान क्या है?</t>
  </si>
  <si>
    <t>एक मीनार के पाद से 15 मीटर दूर स्थित बिंदु से शिखर का उन्नयन कोण 60° है। मीनार की ऊँचाई है:</t>
  </si>
  <si>
    <t>15/3​ m</t>
  </si>
  <si>
    <t>दो खंभे 6 m और 11 m ऊंचे हैं और समतल जमीन पर खड़े हैं। यदि उनके पाद के बीच की दूरी 12 m है, तो उनके शिखरों के बीच की दूरी है:</t>
  </si>
  <si>
    <t>11 m</t>
  </si>
  <si>
    <t>यदि धूप में खड़े एक व्यक्ति की छाया उसकी ऊँचाई की 3​ गुनी है, तो सूर्य का उन्नयन कोण है:</t>
  </si>
  <si>
    <t>sin60∘ का मान होता है:</t>
  </si>
  <si>
    <t>1/2​</t>
  </si>
  <si>
    <t>एक पतंग की डोरी 100 मीटर लंबी है और उन्नयन कोण 60° है। पतंग की ऊँचाई ज्ञात करें (यदि डोरी सीधी है)।</t>
  </si>
  <si>
    <t>एक 6 मीटर ऊंचे वृक्ष की छाया 4 मीटर लंबी है। उसी समय एक खंभे की छाया 50 मीटर लंबी है। खंभे की ऊँचाई है:</t>
  </si>
  <si>
    <t>उन्नयन कोण और अवनमन कोण आपस में होते हैं (जब क्षैतिज रेखाएं समांतर हों):</t>
  </si>
  <si>
    <t>पूरक</t>
  </si>
  <si>
    <t>एकांतर (समान)</t>
  </si>
  <si>
    <t>यदि मीनार की ऊँचाई और उसकी छाया की लंबाई समान हो, तो सूर्य का उन्नयन कोण होगा:</t>
  </si>
  <si>
    <t>cot60∘ का मान क्या है?</t>
  </si>
  <si>
    <t>एक 12 मीटर ऊंचे खंभे की छाया 43​ मीटर है। सूर्य का उन्नयन कोण क्या होगा?</t>
  </si>
  <si>
    <t>आँधी से टूटा हुआ पेड़ जमीन के साथ 30° का कोण बनाता है और पाद से स्पर्श बिंदु की दूरी 8 मीटर है। पेड़ की टूटे हुए भाग (कर्ण) की लंबाई क्या है? (8/cos30∘ से):</t>
  </si>
  <si>
    <t>16 m</t>
  </si>
  <si>
    <t>16/3​ m</t>
  </si>
  <si>
    <t>यदि कोई रेखा क्षैतिज रेखा के साथ ऊपर की ओर कोण बनाती है, तो वह रेखा कहलाती है:</t>
  </si>
  <si>
    <t>क्षैतिज रेखा</t>
  </si>
  <si>
    <t>दृष्टि रेखा</t>
  </si>
  <si>
    <t>ऊर्ध्वाधर रेखा</t>
  </si>
  <si>
    <t>tan60∘ का मान क्या है?</t>
  </si>
  <si>
    <t>एक सर्कस कलाकार 20 मीटर लंबी डोर पर चढ़ रहा है जो 30° का कोण बनाती है। खंभे की ऊँचाई (sin 30° का प्रयोग करें):</t>
  </si>
  <si>
    <t>यदि दो मीनारों की ऊँचाई h1​ और h2​ है और उनके पादों को मिलाने वाली रेखा के मध्य बिंदु पर उन्नयन कोण क्रमशः 60° और 30° हैं, तो h1​/h2​ है:</t>
  </si>
  <si>
    <t>एक 30 मीटर लंबी सीढ़ी 15 मीटर ऊंची दीवार के सहारे खड़ी है। सीढ़ी का उन्नयन कोण है:</t>
  </si>
  <si>
    <t>25 मी ऊँची पहाड़ी की चोटी से मीनार के शिखर का उन्नयन कोण उसके पाद के अवनमन कोण के बराबर है। मीनार की ऊँचाई है:</t>
  </si>
  <si>
    <t>cos30∘ का मान होता है:</t>
  </si>
  <si>
    <t>स्थिर है</t>
  </si>
  <si>
    <t>1.5 मीटर लंबा एक प्रेक्षक एक चिमनी से 28.5 मीटर दूर है। यदि कोण 45° है, तो चिमनी की ऊँचाई है:</t>
  </si>
  <si>
    <t>भूमि के एक बिंदु से मीनार के शिखर का उन्नयन कोण 30° है। 20 मीटर मीनार की ओर चलने पर कोण 60° हो जाता है। मीनार की ऊँचाई है:</t>
  </si>
  <si>
    <t>एक झील की सतह से h मीटर ऊपर स्थित बिंदु से एक बादल का उन्नयन कोण α और झील में उसके प्रतिबिंब का अवनमन कोण β है। बादल की ऊँचाई है: [NCERT Exemplar]</t>
  </si>
  <si>
    <t>h(tanβ+tanα)/(tanβ−tanα)</t>
  </si>
  <si>
    <t>htanα</t>
  </si>
  <si>
    <t>htanβ</t>
  </si>
  <si>
    <t>sec60∘ का मान है:</t>
  </si>
  <si>
    <t>2/3​</t>
  </si>
  <si>
    <t>सूर्य का उन्नयन कोण जब किसी सीधे खड़े खंभे की छाया और उसकी ऊँचाई बराबर हो:</t>
  </si>
  <si>
    <t>7 मीटर ऊंचे भवन के शिखर से टॉवर के शिखर का उन्नयन कोण 60° और पाद का अवनमन कोण 45° है। टॉवर की ऊँचाई है:</t>
  </si>
  <si>
    <t>7(3​+1) m</t>
  </si>
  <si>
    <t>73​ m</t>
  </si>
  <si>
    <t>21 m</t>
  </si>
  <si>
    <t>यदि मीनार के पाद से 4 m और 9 m की दूरी पर स्थित दो बिंदुओं से उन्नयन कोण पूरक हैं, तो मीनार की ऊँचाई है (4×9​):</t>
  </si>
  <si>
    <t>9 m</t>
  </si>
  <si>
    <t>6 m</t>
  </si>
  <si>
    <t>36 m</t>
  </si>
  <si>
    <t>एक 80 मीटर चौड़ी सड़क के दोनों ओर समान ऊँचाई के खंभे हैं। एक बिंदु से उन्नयन कोण 60° और 30° हैं। खंभों की ऊँचाई है:</t>
  </si>
  <si>
    <t>403​ m</t>
  </si>
  <si>
    <t>दृष्टि रेखा और क्षैतिज रेखा के बीच का कोण, जब वस्तु नीचे हो, कहलाता है:</t>
  </si>
  <si>
    <t>उन्नयन</t>
  </si>
  <si>
    <t>अवनमन</t>
  </si>
  <si>
    <t>ऋजु</t>
  </si>
  <si>
    <t>sin45∘ का मान है:</t>
  </si>
  <si>
    <t>एक हवाई जहाज से किसी सड़क पर दो पत्थरों के अवनमन कोण 30° और 45° हैं। यदि जहाज की ऊँचाई 1 किमी है, तो पत्थरों के बीच की दूरी है:</t>
  </si>
  <si>
    <t>3​−1 km</t>
  </si>
  <si>
    <t>3​+1 km</t>
  </si>
  <si>
    <t>1/3​ km</t>
  </si>
  <si>
    <t>2 km</t>
  </si>
  <si>
    <t>यदि θ=30∘, तो 2sinθcosθ का मान है:</t>
  </si>
  <si>
    <t>एक गुब्बारा 88.2 मीटर की ऊँचाई पर उड़ रहा है। कोण 60° से 30° हो जाता है। गुब्बारे द्वारा तय की गई दूरी है:</t>
  </si>
  <si>
    <t>29.43​ m</t>
  </si>
  <si>
    <t>58.83​ m</t>
  </si>
  <si>
    <t>88.23​ m</t>
  </si>
  <si>
    <t>44.1 m</t>
  </si>
  <si>
    <t>एक मीनार की ऊँचाई 1003​ मीटर है। इसके पाद से 100 मीटर की दूरी पर उन्नयन कोण क्या होगा?</t>
  </si>
  <si>
    <t>यदि tanθ=3​, तो θ का मान है:</t>
  </si>
  <si>
    <t>एक छड़ की लंबाई और उसकी छाया का अनुपात 1:3​ है। सूर्य का उन्नयन कोण है:</t>
  </si>
  <si>
    <t>एक सीधा राजमार्ग मीनार के पाद तक जाता है। मीनार के शिखर से कार का अवनमन कोण 30° से 60° होने में 6 सेकंड लगते हैं। पाद तक पहुँचने में लगा और समय होगा:</t>
  </si>
  <si>
    <t>3 sec</t>
  </si>
  <si>
    <t>4 sec</t>
  </si>
  <si>
    <t>6 sec</t>
  </si>
  <si>
    <t>9 sec</t>
  </si>
  <si>
    <t>cosec 60∘ का मान है:</t>
  </si>
  <si>
    <t>एक 60 मीटर ऊंचे भवन के शिखर से एक मीनार के शिखर और पाद के अवनमन कोण क्रमशः 30° और 60° हैं। मीनार की ऊँचाई है:</t>
  </si>
  <si>
    <t>यदि खंभे की ऊँचाई छाया की लंबाई की 3 गुनी है, तो कोण है:</t>
  </si>
  <si>
    <t>कोई नहीं (tanθ=3)</t>
  </si>
  <si>
    <t>उन्नयन कोण को मापा जाता है:</t>
  </si>
  <si>
    <t>क्षैतिज रेखा से ऊपर</t>
  </si>
  <si>
    <t>क्षैतिज रेखा से नीचे</t>
  </si>
  <si>
    <t>ऊर्ध्वाधर रेखा से</t>
  </si>
  <si>
    <t>1/3​ किसका मान है?</t>
  </si>
  <si>
    <t>cos30∘</t>
  </si>
  <si>
    <t>100 मीटर ऊंचे टॉवर से एक कार का अवनमन कोण 45° है। टॉवर से कार की दूरी है:</t>
  </si>
  <si>
    <t>150 m</t>
  </si>
  <si>
    <t>एक मीनार के शिखर का उन्नयन कोण उसके पाद से 100 m की दूरी पर 30° है। मीनार की ऊँचाई है:</t>
  </si>
  <si>
    <t>100/3​ m</t>
  </si>
  <si>
    <t>यदि sinθ=cosθ, तो θ का मान है:</t>
  </si>
  <si>
    <t>एक पतंग की डोरी क्षैतिज के साथ 60° का कोण बनाती है। यदि डोरी 50 मीटर लंबी है, तो पतंग की ऊँचाई है:</t>
  </si>
  <si>
    <t>253​ m</t>
  </si>
  <si>
    <t>नदी के एक किनारे पर खड़े आदमी को दूसरे किनारे के पेड़ का उन्नयन कोण 60° दिखता है। 20 मी पीछे हटने पर कोण 30° हो जाता है। नदी की चौड़ाई है:</t>
  </si>
  <si>
    <t>5 मीटर ऊंचे घर की छाया की लंबाई क्या होगी यदि सूर्य का कोण 45° है?</t>
  </si>
  <si>
    <t>tan90∘ का मान होता है:</t>
  </si>
  <si>
    <t>∞ (अपरिभाषित)</t>
  </si>
  <si>
    <t>एक सीढ़ी दीवार के साथ α कोण बनाती है। यदि सीढ़ी का पाद दीवार से x दूरी पर है, तो सीढ़ी की लंबाई है:</t>
  </si>
  <si>
    <t>xcosα</t>
  </si>
  <si>
    <t>xsecα</t>
  </si>
  <si>
    <t>xsinα</t>
  </si>
  <si>
    <t>xtanα</t>
  </si>
  <si>
    <t>यदि सूर्य का उन्नयन कोण 30° है, तो h ऊँचाई वाले स्तंभ की छाया होगी:</t>
  </si>
  <si>
    <t>h3​</t>
  </si>
  <si>
    <t>h/3​</t>
  </si>
  <si>
    <t>2h</t>
  </si>
  <si>
    <t>अवनमन कोण और उन्नयन कोण बराबर होते हैं क्योंकि वे:</t>
  </si>
  <si>
    <t>संगत कोण हैं</t>
  </si>
  <si>
    <t>एकांतर कोण हैं</t>
  </si>
  <si>
    <t>शीर्षाभिमुख कोण हैं</t>
  </si>
  <si>
    <t>आसन्न कोण हैं</t>
  </si>
  <si>
    <t>cot30∘ का मान है:</t>
  </si>
  <si>
    <t>एक टेलीफोन का खंभा आंधी में मुड़ जाता है। उसका शिखर पाद से 83​ मीटर दूरी पर जमीन को छूता है और 30° का कोण बनाता है। खंभे की कुल ऊँचाई है:</t>
  </si>
  <si>
    <t>समुद्र तल से 75 मीटर ऊंची लाइट हाउस से दो जहाजों के अवनमन कोण 30° और 45° हैं। जहाजों के बीच की दूरी है:</t>
  </si>
  <si>
    <t>75(3​−1) m</t>
  </si>
  <si>
    <t>75(3​+1) m</t>
  </si>
  <si>
    <t>cos45∘ का मान है:</t>
  </si>
  <si>
    <t>यदि मीनार की ऊँचाई 20 मीटर है और छाया 203​ मीटर है, तो उन्नयन कोण है:</t>
  </si>
  <si>
    <t>उन्नयन कोण 60° है। एक खंभे की छाया 10 मीटर है। खंभे की ऊँचाई ज्ञात करें:</t>
  </si>
  <si>
    <t>10/3​ m</t>
  </si>
  <si>
    <t>sec30∘ का मान है:</t>
  </si>
  <si>
    <t>एक मीनार के पाद से 50 मीटर दूर स्थित बिंदु से शिखर का उन्नयन कोण 45° है। मीनार की ऊँचाई है:</t>
  </si>
  <si>
    <t>यदि θ बढ़ता है, तो tanθ का मान:</t>
  </si>
  <si>
    <t>बढ़ता है</t>
  </si>
  <si>
    <t>घटता है</t>
  </si>
  <si>
    <t>स्थिर रहता है</t>
  </si>
  <si>
    <t>पहले घटता फिर बढ़ता है</t>
  </si>
  <si>
    <t>15 मीटर लंबी एक सीढ़ी एक ऊर्ध्वाधर दीवार के शिखर तक पहुँचती है। यदि सीढ़ी दीवार के साथ 60° का कोण बनाती है, तो दीवार की ऊँचाई है:</t>
  </si>
  <si>
    <t>7.5 m</t>
  </si>
  <si>
    <t>7.53​ m</t>
  </si>
  <si>
    <t>मीनार के आधार से एक सरल रेखा में a और b दूरी पर स्थित दो बिंदुओं से उन्नयन कोण पूरक हैं। मीनार की ऊँचाई है:</t>
  </si>
  <si>
    <t>a−b</t>
  </si>
  <si>
    <t>एक उर्ध्वाधर छड़ की लंबाई उसकी छाया की लंबाई के बराबर है। उन्नयन कोण है:</t>
  </si>
  <si>
    <t>20 मीटर ऊंचे भवन के शिखर पर एक संचार मीनार है। जमीन के एक बिंदु से मीनार के तल और शिखर के उन्नयन कोण 45° और 60° हैं। मीनार की ऊँचाई है:</t>
  </si>
  <si>
    <t>20(3​−1) m</t>
  </si>
  <si>
    <t>tan45∘−cot45∘ का मान है:</t>
  </si>
  <si>
    <t>यदि सूर्य का उन्नयन कोण 60° है और पेड़ की ऊँचाई 6 मीटर है, तो छाया की लंबाई होगी:</t>
  </si>
  <si>
    <t>23​ m</t>
  </si>
  <si>
    <t>63​ m</t>
  </si>
  <si>
    <t>10 मीटर लंबी सीढ़ी जमीन से 8 मीटर ऊंचाई पर खिड़की तक पहुँचती है। सीढ़ी के पाद की दीवार से दूरी है (पाइथागोरस प्रमेय):</t>
  </si>
  <si>
    <t>cosec 45∘ का मान है:</t>
  </si>
  <si>
    <t>एक पहाड़ी की ढलान क्षैतिज के साथ 60° का कोण बनाती है। यदि शिखर तक पहुँचने के लिए 500 मीटर चलना पड़ता है, तो पहाड़ी की ऊँचाई है:</t>
  </si>
  <si>
    <t>2503​ m</t>
  </si>
  <si>
    <t>250 m</t>
  </si>
  <si>
    <t>500 m</t>
  </si>
  <si>
    <t>5003​ m</t>
  </si>
  <si>
    <t>सूर्य के उन्नयन कोण में वृद्धि होने पर किसी वस्तु की छाया की लंबाई:</t>
  </si>
  <si>
    <t>बढ़ती है</t>
  </si>
  <si>
    <t>घटती है</t>
  </si>
  <si>
    <t>एक मीनार के पाद से 30 मीटर दूर स्थित बिंदु से शिखर का उन्नयन कोण 30° है। मीनार की ऊँचाई है:</t>
  </si>
  <si>
    <t>1.6 मीटर ऊंची मूर्ति एक पेडस्टल पर खड़ी है। भूमि के एक बिंदु से मूर्ति के शिखर का उन्नयन कोण 60° और पेडस्टल के शिखर का 45° है। पेडस्टल की ऊँचाई है:</t>
  </si>
  <si>
    <t>0.8(3​+1) m</t>
  </si>
  <si>
    <t>1.6(3​+1) m</t>
  </si>
  <si>
    <t>0.83​ m</t>
  </si>
  <si>
    <t>1.6 m</t>
  </si>
  <si>
    <t>cos90∘ का मान है:</t>
  </si>
  <si>
    <t>50 मीटर ऊंची मीनार के शिखर से एक जहाज का अवनमन कोण 30° है। जहाज की मीनार से दूरी है:</t>
  </si>
  <si>
    <t>यदि 2cosθ=1, तो θ का मान है:</t>
  </si>
  <si>
    <t>एक पतंग की डोरी 75 मीटर लंबी है और क्षैतिज के साथ 60° का कोण बनाती है। ऊँचाई है:</t>
  </si>
  <si>
    <t>37.53​ m</t>
  </si>
  <si>
    <t>753​ m</t>
  </si>
  <si>
    <t>37.5 m</t>
  </si>
  <si>
    <t>sin260∘+cos260∘ का मान है:</t>
  </si>
  <si>
    <t>एक 10 मीटर ऊंचे खंभे को सीधा रखने के लिए एक स्टील का तार शीर्ष से जमीन तक बांधा गया है। यदि तार क्षैतिज के साथ 45° का कोण बनाता है, तो तार की लंबाई है:</t>
  </si>
  <si>
    <t>102​ m</t>
  </si>
  <si>
    <t>यदि मीनार की ऊँचाई h है और सूर्य का उन्नयन कोण 45° है, तो छाया की लंबाई होगी:</t>
  </si>
  <si>
    <t>tan30∘×tan60∘ का मान है:</t>
  </si>
  <si>
    <t>आंधी में एक पेड़ का ऊपरी भाग टूटकर 10 मीटर की दूरी पर जमीन को छूता है और 45° का कोण बनाता है। पेड़ की कुल ऊँचाई है:</t>
  </si>
  <si>
    <t>10(2​+1) m</t>
  </si>
  <si>
    <t>60 मीटर ऊंचे प्रकाश स्तंभ से एक नाव का अवनमन कोण 60° है। नाव की प्रकाश स्तंभ से दूरी है:</t>
  </si>
  <si>
    <t>603​ m</t>
  </si>
  <si>
    <t>sin60∘/cos60∘ बराबर है:</t>
  </si>
  <si>
    <t>cot60∘</t>
  </si>
  <si>
    <t>sec60∘</t>
  </si>
  <si>
    <t>यदि एक मीनार की छाया उसकी ऊँचाई की 1/3​ गुनी है, तो सूर्य का उन्नयन कोण है:</t>
  </si>
  <si>
    <t>30 मीटर लंबी छाया बनाने वाले मीनार के शिखर का उन्नयन कोण 60° है। मीनार की ऊँचाई है:</t>
  </si>
  <si>
    <t>tan245∘−1 का मान है:</t>
  </si>
  <si>
    <t>एक पहाड़ी की चोटी से, पूर्व में स्थित दो बिंदुओं के अवनमन कोण 30° और 45° हैं। यदि बिंदुओं के बीच की दूरी 1 किमी है, तो पहाड़ी की ऊँचाई है:</t>
  </si>
  <si>
    <t>1.366 km</t>
  </si>
  <si>
    <t>0.5 km</t>
  </si>
  <si>
    <t>1/(3​−1) km</t>
  </si>
  <si>
    <t>1 km</t>
  </si>
  <si>
    <t>100 मी चौड़ी नदी के बीच में एक छोटा द्वीप है जिस पर एक पेड़ है। दोनों किनारों से उन्नयन कोण 30° और 45° हैं। पेड़ की ऊँचाई है:</t>
  </si>
  <si>
    <t>36.6 m</t>
  </si>
  <si>
    <t>cos0∘ का मान है:</t>
  </si>
  <si>
    <t>यदि सूर्य का उन्नयन कोण 30° से 60° हो जाता है, तो टॉवर की छाया की लंबाई:</t>
  </si>
  <si>
    <t>दोगुनी हो जाती है</t>
  </si>
  <si>
    <t>15 मीटर ऊंचे खंभे की छाया 53​ मीटर है। सूर्य का उन्नयन कोण है:</t>
  </si>
  <si>
    <t>एक वृत्त की कितनी स्पर्श रेखाएँ हो सकती हैं?</t>
  </si>
  <si>
    <t>2</t>
  </si>
  <si>
    <t>किसी वृत्त की स्पर्श रेखा उसे कितने बिंदुओं पर प्रतिच्छेद करती है?</t>
  </si>
  <si>
    <t>वृत्त को दो बिंदुओं पर प्रतिच्छेद करने वाली रेखा को क्या कहते हैं?</t>
  </si>
  <si>
    <t>जीवा</t>
  </si>
  <si>
    <t>छेदक रेखा</t>
  </si>
  <si>
    <t>एक वृत्त की कितनी समांतर स्पर्श रेखाएँ हो सकती हैं?</t>
  </si>
  <si>
    <t>वृत्त तथा उसकी स्पर्श रेखा के उभयनिष्ठ बिंदु को क्या कहते हैं?</t>
  </si>
  <si>
    <t>केंद्र</t>
  </si>
  <si>
    <t>स्पर्श बिंदु</t>
  </si>
  <si>
    <t>5 सेमी त्रिज्या वाले एक वृत्त के बिंदु P पर स्पर्श रेखा PQ केंद्र O से जाने वाली एक रेखा से बिंदु Q पर इस प्रकार मिलती है कि OQ = 12 सेमी। PQ की लम्बाई है:</t>
  </si>
  <si>
    <t>13 सेमी</t>
  </si>
  <si>
    <t>8.5 सेमी</t>
  </si>
  <si>
    <t>√119 सेमी</t>
  </si>
  <si>
    <t>एक बिंदु Q से एक वृत्त पर स्पर्श रेखा की लम्बाई 24 cm तथा Q की केंद्र से दूरी 25 cm है। वृत्त की त्रिज्या है:</t>
  </si>
  <si>
    <t>7 cm</t>
  </si>
  <si>
    <t>12 cm</t>
  </si>
  <si>
    <t>15 cm</t>
  </si>
  <si>
    <t>24.5 cm</t>
  </si>
  <si>
    <t>यदि TP, TQ केंद्र O वाले किसी वृत्त पर दो स्पर्श रेखाएँ इस प्रकार हैं कि ∠POQ = 110°, तो ∠PTQ बराबर है:</t>
  </si>
  <si>
    <t>70°</t>
  </si>
  <si>
    <t>80°</t>
  </si>
  <si>
    <t>यदि एक बिंदु P से O केंद्र वाले किसी वृत्त पर PA, PB स्पर्श रेखाएँ 80° के कोण पर झुकी हों, तो ∠POA बराबर है:</t>
  </si>
  <si>
    <t>50°</t>
  </si>
  <si>
    <t>किसी बाह्य बिंदु से वृत्त पर खींची गई स्पर्श रेखाओं की लम्बाइयाँ होती हैं:</t>
  </si>
  <si>
    <t>दुगुनी</t>
  </si>
  <si>
    <t>6 सेमी त्रिज्या वाले वृत्त के केंद्र से 10 सेमी दूर स्थित बिंदु से वृत्त पर खींची गई स्पर्श रेखा की लंबाई होगी:</t>
  </si>
  <si>
    <t>8 सेमी त्रिज्या वाले वृत्त के केंद्र से 17 सेमी दूर स्थित एक बिंदु से वृत्त पर खींची गई स्पर्श रेखा की लम्बाई होगी:</t>
  </si>
  <si>
    <t>√353 सेमी</t>
  </si>
  <si>
    <t>25 सेमी</t>
  </si>
  <si>
    <t>किसी वृत्त के बाह्य बिंदु P से दो स्पर्श रेखाएँ PA तथा PB खींची गई हैं। यदि PA = 4 सेमी, तो PB की लम्बाई है:</t>
  </si>
  <si>
    <t>4.5 सेमी त्रिज्या वाले वृत्त पर खींची गई दो समांतर स्पर्श रेखाओं के बीच की दूरी होगी:</t>
  </si>
  <si>
    <t>4.5 सेमी</t>
  </si>
  <si>
    <t>1.5 सेमी</t>
  </si>
  <si>
    <t>किसी बाह्य बिंदु से वृत्त पर कितनी स्पर्श रेखाएँ खींची जा सकती हैं?</t>
  </si>
  <si>
    <t>यदि O केंद्र वाले वृत्त पर PA तथा PB दो स्पर्श रेखाएँ इस प्रकार हैं कि ∠APB = 50°, तो ∠AOB = ?</t>
  </si>
  <si>
    <t>25°</t>
  </si>
  <si>
    <t>130°</t>
  </si>
  <si>
    <t>दी गई आकृति में, बिंदु O वृत्त का केंद्र है तथा ∠AOB = 30° है, तो ∠OBA का मान है:</t>
  </si>
  <si>
    <t>10 सेमी त्रिज्या वाले अर्द्धवृत्त की कुल परिमिति होगी:</t>
  </si>
  <si>
    <t>(π + 2)10 सेमी</t>
  </si>
  <si>
    <t>(π + 1)10 सेमी</t>
  </si>
  <si>
    <t>10π सेमी</t>
  </si>
  <si>
    <t>(π + 5)10 सेमी</t>
  </si>
  <si>
    <t>दो वृत्तों की त्रिज्याओं का अनुपात 5:7 है, तो उनके क्षेत्रफलों का अनुपात होगा:</t>
  </si>
  <si>
    <t>5:7</t>
  </si>
  <si>
    <t>25:49:00</t>
  </si>
  <si>
    <t>49:25:00</t>
  </si>
  <si>
    <t>यदि एक वृत्त का क्षेत्रफल 49π है, तो उसका व्यास क्या होगा?</t>
  </si>
  <si>
    <t>21</t>
  </si>
  <si>
    <t>यदि एक वृत्त की परिमाप और क्षेत्रफल संख्यात्मक रूप से बराबर हैं, तो उस वृत्त की त्रिज्या है:</t>
  </si>
  <si>
    <t>2 मात्रक</t>
  </si>
  <si>
    <t>π मात्रक</t>
  </si>
  <si>
    <t>4 मात्रक</t>
  </si>
  <si>
    <t>7 मात्रक</t>
  </si>
  <si>
    <t>कोण θ वाले त्रिज्यखंड का क्षेत्रफल है:</t>
  </si>
  <si>
    <t>(θ/180) × 2πr</t>
  </si>
  <si>
    <t>(θ/180) × πr²</t>
  </si>
  <si>
    <t>(θ/360) × 2πr</t>
  </si>
  <si>
    <t>(θ/360) × πr²</t>
  </si>
  <si>
    <t>k त्रिज्या वाले अर्धवृत्त की कुल परिमिति क्या होगी?</t>
  </si>
  <si>
    <t>πk + 2k</t>
  </si>
  <si>
    <t>πk + k</t>
  </si>
  <si>
    <t>2πk</t>
  </si>
  <si>
    <t>दो संकेंद्री वृत्तों की त्रिज्याएँ 5 cm तथा 3 cm हैं। बड़े वृत्त की उस जीवा की लम्बाई ज्ञात कीजिए जो छोटे वृत्त को स्पर्श करती हो।</t>
  </si>
  <si>
    <t>6 cm</t>
  </si>
  <si>
    <t>8 cm</t>
  </si>
  <si>
    <t>10 cm</t>
  </si>
  <si>
    <t>किसी वृत्त के व्यास के सिरों पर खींची गई स्पर्श रेखाएँ कैसी होती हैं?</t>
  </si>
  <si>
    <t>यदि ABCD एक चतुर्भुज है जो वृत्त के परिगत है, तो AB + CD बराबर होगा:</t>
  </si>
  <si>
    <t>AD - BC</t>
  </si>
  <si>
    <t>AD × BC</t>
  </si>
  <si>
    <t>AD + BC</t>
  </si>
  <si>
    <t>AD / BC</t>
  </si>
  <si>
    <t>बाह्य बिंदु से खींची गई स्पर्श रेखाओं के बीच का कोण और केंद्र पर अंतरित कोण आपस में होते हैं:</t>
  </si>
  <si>
    <t>संपूरक</t>
  </si>
  <si>
    <t>किसी वृत्त के परिगत बना समांतर चतुर्भुज कैसा होता है?</t>
  </si>
  <si>
    <t>समचतुर्भुज</t>
  </si>
  <si>
    <t>स्पर्श रेखा और स्पर्श बिंदु से जाने वाली त्रिज्या के बीच का कोण होता है:</t>
  </si>
  <si>
    <t>180°</t>
  </si>
  <si>
    <t>किसी वृत्त के अन्दर स्थित बिंदु से खींची गई स्पर्श रेखाओं की संख्या है:</t>
  </si>
  <si>
    <t>वृत्त पर स्थित किसी बिंदु से खींची गई स्पर्श रेखाओं की संख्या है:</t>
  </si>
  <si>
    <t>किसी वृत्त की छेदक रेखा के समांतर कितनी स्पर्श रेखाएं हो सकती हैं?</t>
  </si>
  <si>
    <t>कोण p (डिग्री में) वाले त्रिज्यखंड का क्षेत्रफल (त्रिज्या R) है:</t>
  </si>
  <si>
    <t>(p/180) × 2πR</t>
  </si>
  <si>
    <t>(p/180) × πR²</t>
  </si>
  <si>
    <t>(p/360) × 2πR</t>
  </si>
  <si>
    <t>(p/720) × 2πR²</t>
  </si>
  <si>
    <t>21 सेमी त्रिज्या वाले वृत्त के उस चाप की लंबाई क्या होगी जो केंद्र पर 60° का कोण अंतरित करता है?</t>
  </si>
  <si>
    <t>21 सेमी</t>
  </si>
  <si>
    <t>22 सेमी</t>
  </si>
  <si>
    <t>42 सेमी</t>
  </si>
  <si>
    <t>11 सेमी</t>
  </si>
  <si>
    <t>एक घड़ी की मिनट वाली सुई द्वारा 45 मिनट में बनाया गया कोण है:</t>
  </si>
  <si>
    <t>270°</t>
  </si>
  <si>
    <t>135°</t>
  </si>
  <si>
    <t>p त्रिज्या वाले वृत्त में कोण θ के चाप की लम्बाई है:</t>
  </si>
  <si>
    <t>(θ/360) × 2πp</t>
  </si>
  <si>
    <t>(θ/360) × πp²</t>
  </si>
  <si>
    <t>(θ/180) × 2πp</t>
  </si>
  <si>
    <t>(θ/720) × 2πp²</t>
  </si>
  <si>
    <t>किसी वृत्त के केंद्र से 13 सेमी दूर स्थित बिंदु P से खींची गई स्पर्श रेखा की लम्बाई 12 सेमी है, तो वृत्त की त्रिज्या है:</t>
  </si>
  <si>
    <t>एक वृत्त का क्षेत्रफल 38.5 सेमी² है, तो वृत्त की त्रिज्या है:</t>
  </si>
  <si>
    <t>3.5 सेमी</t>
  </si>
  <si>
    <t>10.5 सेमी</t>
  </si>
  <si>
    <t>यदि दो समरूप त्रिभुजों के क्षेत्रफलों का अनुपात 64 : 121 है, तो इनके संगत भुजाओं का अनुपात होगा:</t>
  </si>
  <si>
    <t>8 : 11</t>
  </si>
  <si>
    <t>8 : 12</t>
  </si>
  <si>
    <t>12 : 14</t>
  </si>
  <si>
    <t>11 : 8</t>
  </si>
  <si>
    <t>एक रेखा जो वृत्त को दो भिन्न बिन्दुओं पर प्रतिच्छेद करती है, कहलाती है:</t>
  </si>
  <si>
    <t>दोनों (A) और (B)</t>
  </si>
  <si>
    <t>आकृति में XY तथा X’Y’ दो समांतर स्पर्श रेखाएँ हैं, तो ∠AOB का मान होगा:</t>
  </si>
  <si>
    <t>120°</t>
  </si>
  <si>
    <t>वृत्त के सबसे बड़े जीवा को क्या कहते हैं?</t>
  </si>
  <si>
    <t>निम्न में कौन अपरिमेय नहीं है? (PYQ 2019)</t>
  </si>
  <si>
    <t>√7</t>
  </si>
  <si>
    <t>√25</t>
  </si>
  <si>
    <t>√31</t>
  </si>
  <si>
    <t>14 सेमी भुजा वाले वर्ग के चारों कोनों से 1 सेमी त्रिज्या वाले चतुर्थांश काटने के बाद बचे भाग का क्षेत्रफल होगा? (Conceptual based on Source)</t>
  </si>
  <si>
    <t>196 - π</t>
  </si>
  <si>
    <t>196 - 2π</t>
  </si>
  <si>
    <t>196 - 4π</t>
  </si>
  <si>
    <t>42 सेमी व्यास वाले वृत्त का क्षेत्रफल क्या होगा?</t>
  </si>
  <si>
    <t>1386 सेमी²</t>
  </si>
  <si>
    <t>1286 सेमी²</t>
  </si>
  <si>
    <t>1486 सेमी²</t>
  </si>
  <si>
    <t>1186 सेमी²</t>
  </si>
  <si>
    <t>एक वृत्त के अंदर स्थित किसी बिंदु से वृत्त पर कितनी स्पर्श रेखाएँ खींची जा सकती हैं?</t>
  </si>
  <si>
    <t>बाह्य बिंदु से वृत्त पर खींची गई स्पर्श रेखाओं की लम्बाइयाँ कैसी होती हैं?</t>
  </si>
  <si>
    <t>वृत्त के केंद्र पर बना कोण होता है:</t>
  </si>
  <si>
    <t>360°</t>
  </si>
  <si>
    <t>3 सेमी त्रिज्या वाले वृत्त के केंद्र से 5 सेमी दूर स्थित बिंदु से खींची गई स्पर्श रेखा की लंबाई क्या है?</t>
  </si>
  <si>
    <t>2 सेमी</t>
  </si>
  <si>
    <t>3 सेमी</t>
  </si>
  <si>
    <t>यदि एक बिंदु P से O केंद्र वाले वृत्त पर स्पर्श रेखाएँ PA और PB एक-दूसरे से 80° के कोण पर झुकी हों, तो ∠POA का मान होगा:</t>
  </si>
  <si>
    <t>वृत्त की स्पर्श रेखा और त्रिज्या के बीच का कोण होता है:</t>
  </si>
  <si>
    <t>किसी वृत्त के व्यास के सिरों पर खींची गई स्पर्श रेखाएँ होती हैं:</t>
  </si>
  <si>
    <t>एक वृत्त की परिधि और व्यास का अनुपात होता है:</t>
  </si>
  <si>
    <t>1 : π</t>
  </si>
  <si>
    <t>π : 1</t>
  </si>
  <si>
    <t>2 : 1</t>
  </si>
  <si>
    <t>1 : 1</t>
  </si>
  <si>
    <t>यदि दो वृत्तों की त्रिज्याएँ 19 सेमी और 9 सेमी हैं, तो उस वृत्त की त्रिज्या क्या होगी जिसकी परिधि इन दोनों वृत्तों की परिधियों के योग के बराबर है?</t>
  </si>
  <si>
    <t>28 सेमी</t>
  </si>
  <si>
    <t>19 सेमी</t>
  </si>
  <si>
    <t>यदि दो वृत्तों की त्रिज्याएँ 8 सेमी और 6 सेमी हैं, तो उस वृत्त की त्रिज्या क्या होगी जिसका क्षेत्रफल इन दोनों वृत्तों के क्षेत्रफलों के योग के बराबर है?</t>
  </si>
  <si>
    <t>14 सेमी</t>
  </si>
  <si>
    <t>100 सेमी</t>
  </si>
  <si>
    <t>एक घड़ी की मिनट की सुई की लंबाई 14 सेमी है। 5 मिनट में सुई द्वारा रचित क्षेत्रफल होगा:</t>
  </si>
  <si>
    <t>154/3 सेमी²</t>
  </si>
  <si>
    <t>44 सेमी²</t>
  </si>
  <si>
    <t>154 सेमी²</t>
  </si>
  <si>
    <t>22 सेमी²</t>
  </si>
  <si>
    <t>10 सेमी त्रिज्या वाले वृत्त की एक जीवा केंद्र पर समकोण अंतरित करती है। संगत लघु वृत्तखंड का क्षेत्रफल (π=3.14) है:</t>
  </si>
  <si>
    <t>78.5 सेमी²</t>
  </si>
  <si>
    <t>28.5 सेमी²</t>
  </si>
  <si>
    <t>39.25 सेमी²</t>
  </si>
  <si>
    <t>10 सेमी²</t>
  </si>
  <si>
    <t>त्रिज्या R वाले वृत्त के उस त्रिज्यखंड का क्षेत्रफल जिसका कोण p° है, होगा:</t>
  </si>
  <si>
    <t>दो संकेंद्री वृत्तों की त्रिज्याएँ क्रमशः 5 सेमी और 3 सेमी हैं। बड़े वृत्त की उस जीवा की लंबाई जो छोटे वृत्त को स्पर्श करती है:</t>
  </si>
  <si>
    <t>एक वृत्त के परिगत एक चतुर्भुज ABCD खींचा गया है। यदि AB + CD = AD + BC हो, तो यह आकृति है:</t>
  </si>
  <si>
    <t>कोई भी चतुर्भुज</t>
  </si>
  <si>
    <t>आकृति में, यदि O वृत्त का केंद्र है, PQ जीवा है और PT स्पर्श रेखा है, और ∠POQ = 110° है, तो ∠TPQ बराबर है:</t>
  </si>
  <si>
    <t>35°</t>
  </si>
  <si>
    <t>55°</t>
  </si>
  <si>
    <t>6 सेमी त्रिज्या वाले एक त्रिज्यखंड का परिमाप क्या होगा यदि त्रिज्यखंड का कोण 60° है?</t>
  </si>
  <si>
    <t>6 + 2π</t>
  </si>
  <si>
    <t>12 + 2π</t>
  </si>
  <si>
    <t>12 + π</t>
  </si>
  <si>
    <t>6 + π</t>
  </si>
  <si>
    <t>एक वृत्त की परिधि 22 सेमी है। उसके चतुर्थांश (Quadrant) का क्षेत्रफल होगा:</t>
  </si>
  <si>
    <t>77/8 सेमी²</t>
  </si>
  <si>
    <t>77/2 सेमी²</t>
  </si>
  <si>
    <t>77/4 सेमी²</t>
  </si>
  <si>
    <t>यदि एक अर्धवृत्त का व्यास 14 सेमी है, तो इसका क्षेत्रफल होगा:</t>
  </si>
  <si>
    <t>77 सेमी²</t>
  </si>
  <si>
    <t>308 सेमी²</t>
  </si>
  <si>
    <t>38.5 सेमी²</t>
  </si>
  <si>
    <t>दो वृत्तों के क्षेत्रफलों का अनुपात 4:1 है, तो उनकी त्रिज्याओं का अनुपात होगा:</t>
  </si>
  <si>
    <t>16:1</t>
  </si>
  <si>
    <t>यदि किसी वृत्त की त्रिज्या दुगुनी कर दी जाए, तो पुराने और नए वृत्त के क्षेत्रफलों का अनुपात क्या होगा?</t>
  </si>
  <si>
    <t>किसी वृत्त का कोण θ (डिग्री में) वाले त्रिज्यखंड के चाप की लंबाई होती है:</t>
  </si>
  <si>
    <t>7 सेमी त्रिज्या वाले वृत्त के एक चाप द्वारा केंद्र पर 30° का कोण बनता है, तो त्रिज्यखंड का क्षेत्रफल है:</t>
  </si>
  <si>
    <t>12.83 सेमी²</t>
  </si>
  <si>
    <t>15.6 सेमी²</t>
  </si>
  <si>
    <t>22.5 सेमी²</t>
  </si>
  <si>
    <t>49 सेमी²</t>
  </si>
  <si>
    <t>एक पहिए का व्यास 40 सेमी है। 176 मीटर की दूरी तय करने में इसे कितने चक्कर लगाने होंगे? (π=22/7)</t>
  </si>
  <si>
    <t>150</t>
  </si>
  <si>
    <t>160</t>
  </si>
  <si>
    <t>यदि एक वृत्त का परिमाप और क्षेत्रफल संख्यात्मक रूप से बराबर है, तो वृत्त का व्यास है:</t>
  </si>
  <si>
    <t>वृत्त की छेदक रेखा वृत्त को कितने बिंदुओं पर प्रतिच्छेद करती है?</t>
  </si>
  <si>
    <t>एक वृत्त की कितनी समांतर स्पर्श रेखाएं हो सकती हैं?</t>
  </si>
  <si>
    <t>किसी वृत्त के बाह्य बिंदु से खींची गई स्पर्श रेखाओं के बीच का कोण, स्पर्श बिंदुओं को केंद्र से मिलाने वाली रेखाओं द्वारा केंद्र पर अंतरित कोण का होता है:</t>
  </si>
  <si>
    <t>वृत्त के केंद्र से जीवा पर डाला गया लम्ब जीवा को करता है:</t>
  </si>
  <si>
    <t>समद्विभाजित</t>
  </si>
  <si>
    <t>तिगुना</t>
  </si>
  <si>
    <t>अर्धवृत्त का कोण होता है:</t>
  </si>
  <si>
    <t>यदि दो वृत्तों की त्रिज्याओं का अनुपात 2:3 है, तो उनके क्षेत्रफलों का अनुपात होगा:</t>
  </si>
  <si>
    <t>08:27</t>
  </si>
  <si>
    <t>4:6</t>
  </si>
  <si>
    <t>14 सेमी भुजा वाले वर्ग के अंतर्गत खींचे गए अधिकतम त्रिज्या वाले वृत्त का क्षेत्रफल होगा:</t>
  </si>
  <si>
    <t>196 सेमी²</t>
  </si>
  <si>
    <t>यदि एक वृत्त की परिधि 44 सेमी है, तो उसकी त्रिज्या होगी:</t>
  </si>
  <si>
    <t>दो वृत्तों के व्यासों का अनुपात 3:4 है, तो उनके क्षेत्रफलों का अनुपात होगा:</t>
  </si>
  <si>
    <t>3:4</t>
  </si>
  <si>
    <t>09:16</t>
  </si>
  <si>
    <t>6:8</t>
  </si>
  <si>
    <t>वह रेखा जो वृत्त को केवल एक बिंदु पर स्पर्श करती है, कहलाती है:</t>
  </si>
  <si>
    <t>संकेंद्री वृत्तों (Concentric Circles) के लिए क्या समान होता है?</t>
  </si>
  <si>
    <t>परिधि</t>
  </si>
  <si>
    <t>21 सेमी त्रिज्या वाले वृत्त के उस चाप की लंबाई क्या होगी जो केंद्र पर 60° का कोण बनाता है? (π=22/7)</t>
  </si>
  <si>
    <t>33 सेमी</t>
  </si>
  <si>
    <t>44 सेमी</t>
  </si>
  <si>
    <t>यदि किसी वृत्त की त्रिज्या k है, तो अर्धवृत्त का परिमाप है:</t>
  </si>
  <si>
    <t>πk</t>
  </si>
  <si>
    <t>वृत्त के किसी बिंदु पर स्पर्श रेखा, स्पर्श बिंदु से जाने वाली त्रिज्या के साथ कौन सा कोण बनाती है?</t>
  </si>
  <si>
    <t>0°</t>
  </si>
  <si>
    <t>बाह्य स्पर्श करने वाले दो वृत्तों की कितनी उभयनिष्ठ स्पर्श रेखाएं हो सकती हैं?</t>
  </si>
  <si>
    <t>यदि किसी वृत्त का क्षेत्रफल 154 सेमी² है, तो इसकी परिधि है:</t>
  </si>
  <si>
    <t>66 सेमी</t>
  </si>
  <si>
    <t>88 सेमी</t>
  </si>
  <si>
    <t>7 सेमी त्रिज्या वाले वृत्त के चतुर्थांश का परिमाप होगा:</t>
  </si>
  <si>
    <t>12.5 सेमी</t>
  </si>
  <si>
    <t>18 सेमी</t>
  </si>
  <si>
    <t>एक वृत्त के केंद्र से 13 सेमी की दूरी पर स्थित बिंदु P से खींची गई स्पर्श रेखा की लंबाई 12 सेमी है। वृत्त की त्रिज्या है:</t>
  </si>
  <si>
    <t>64π सेमी² क्षेत्रफल वाले वृत्त का व्यास है:</t>
  </si>
  <si>
    <t>किसी वृत्त की स्पर्श रेखा उसे कितने बिंदुओं पर स्पर्श करती है?</t>
  </si>
  <si>
    <t>यदि एक अर्धवृत्त का परिमाप 36 सेमी है, तो इसकी त्रिज्या है:</t>
  </si>
  <si>
    <t>12 सेमी त्रिज्या वाले वृत्त के एक चाप की लंबाई 10π सेमी है। इस चाप द्वारा केंद्र पर अंतरित कोण है:</t>
  </si>
  <si>
    <t>150°</t>
  </si>
  <si>
    <t>100°</t>
  </si>
  <si>
    <t>किसी वृत्त के बाह्य बिंदु से खींची गई स्पर्श रेखाओं की लंबाई सदैव होती है:</t>
  </si>
  <si>
    <t>वृत्त के केंद्र पर बना कोण, परिधि पर बने कोण का कितना होता है?</t>
  </si>
  <si>
    <t>दुगुना</t>
  </si>
  <si>
    <t>एक वृत्ताकार खेत पर 24 रु प्रति मीटर की दर से बाड़ लगाने का खर्च 5280 रु है। खेत की त्रिज्या है:</t>
  </si>
  <si>
    <t>30 मीटर</t>
  </si>
  <si>
    <t>32 मीटर</t>
  </si>
  <si>
    <t>35 मीटर</t>
  </si>
  <si>
    <t>40 मीटर</t>
  </si>
  <si>
    <t>यदि O केंद्र वाले वृत्त पर PA तथा PB दो स्पर्श रेखाएँ इस प्रकार हैं कि ∠APB = 50°, तो ∠AOB बराबर होगा:</t>
  </si>
  <si>
    <t>p त्रिज्या वाले वृत्त में कोण θ के त्रिज्यखंड का क्षेत्रफल है (यदि विकल्प D में p/720 × 2πp² हो):</t>
  </si>
  <si>
    <t>p/180 × 2πp</t>
  </si>
  <si>
    <t>p/180 × πp²</t>
  </si>
  <si>
    <t>p/360 × 2πp</t>
  </si>
  <si>
    <t>p/720 × 2πp²</t>
  </si>
  <si>
    <t>14 सेमी त्रिज्या वाले वृत्त का एक चाप केंद्र पर 120° का कोण अंतरित करता है, तो चाप की लम्बाई ज्ञात करें:</t>
  </si>
  <si>
    <t>14π/3 सेमी</t>
  </si>
  <si>
    <t>28π/3 सेमी</t>
  </si>
  <si>
    <t>14π सेमी</t>
  </si>
  <si>
    <t>यदि एक अर्धवृत्त की त्रिज्या k है, तो उसकी कुल परिमिति क्या होगी?</t>
  </si>
  <si>
    <t>42π सेमी²</t>
  </si>
  <si>
    <t>यदि वृत्त का क्षेत्रफल 49π है, तो उसका व्यास क्या होगा?</t>
  </si>
  <si>
    <t>एक वृत्त का क्षेत्रफल 72 सेमी² है (काल्पनिक मान), तो त्रिज्या के वर्ग (r²) का मान π के पदों में क्या होगा?</t>
  </si>
  <si>
    <t>72/π</t>
  </si>
  <si>
    <t>72π</t>
  </si>
  <si>
    <t>36/π</t>
  </si>
  <si>
    <t>144/π</t>
  </si>
  <si>
    <t>वृत्त के उस चाप की लंबाई क्या है जो केंद्र पर θ कोण बनाता है (त्रिज्या r)?</t>
  </si>
  <si>
    <t>6 सेमी त्रिज्या वाले एक वृत्त के त्रिज्यखंड का क्षेत्रफल निकालें, जिसका कोण 60° है (π=22/7):</t>
  </si>
  <si>
    <t>132/7 सेमी²</t>
  </si>
  <si>
    <t>142/7 सेमी²</t>
  </si>
  <si>
    <t>152/7 सेमी²</t>
  </si>
  <si>
    <t>162/7 सेमी²</t>
  </si>
  <si>
    <t>एक घड़ी की मिनट की सुई जिसकी लंबाई 14 सेमी है, द्वारा 5 मिनट में रचित क्षेत्रफल है:</t>
  </si>
  <si>
    <t>भुजा 4 सेमी वाले एक वर्ग के प्रत्येक कोने से 1 सेमी त्रिज्या वाले वृत्त का एक चतुर्थांश काटा गया है। बचे हुए भाग का क्षेत्रफल होगा?</t>
  </si>
  <si>
    <t>16 - π</t>
  </si>
  <si>
    <t>16 - 2π</t>
  </si>
  <si>
    <t>16 - 4π</t>
  </si>
  <si>
    <t>16 - π/2</t>
  </si>
  <si>
    <t>दो वृत्तों की त्रिज्याएँ क्रमशः 8 सेमी और 6 सेमी हैं। उस वृत्त की त्रिज्या ज्ञात कीजिए जिसका क्षेत्रफल इन दोनों वृत्तों के क्षेत्रफलों के योग के बराबर है।</t>
  </si>
  <si>
    <t>दो वृत्तों की त्रिज्याएँ क्रमशः 19 सेमी और 9 सेमी हैं। उस वृत्त की त्रिज्या ज्ञात कीजिए जिसकी परिधि इन दोनों वृत्तों की परिधियों के योग के बराबर है।</t>
  </si>
  <si>
    <t>26 सेमी</t>
  </si>
  <si>
    <t>आकृति में, यदि स्पर्श रेखा PA और PB केंद्र O वाले वृत्त पर 80° के कोण पर झुकी हैं, तो ∠POA का मान है:</t>
  </si>
  <si>
    <t>किसी वृत्त के बाह्य बिंदु से खींची गई स्पर्श रेखाओं की लम्बाइयाँ होती हैं:</t>
  </si>
  <si>
    <t>वृत्त के एक बिंदु पर कितनी स्पर्श रेखाएँ हो सकती हैं?</t>
  </si>
  <si>
    <t>एक वृत्त के परिगत एक चतुर्भुज ABCD खींचा गया है। यदि AB + CD = x, तो AD + BC बराबर होगा:</t>
  </si>
  <si>
    <t>2x</t>
  </si>
  <si>
    <t>x/2</t>
  </si>
  <si>
    <t>x²</t>
  </si>
  <si>
    <t>एक वृत्त के चतुर्थांश (Quadrant) का क्षेत्रफल ज्ञात करें जिसकी परिधि 22 cm है:</t>
  </si>
  <si>
    <t>77/8 cm²</t>
  </si>
  <si>
    <t>77/2 cm²</t>
  </si>
  <si>
    <t>77/4 cm²</t>
  </si>
  <si>
    <t>154 cm²</t>
  </si>
  <si>
    <t>यदि tan θ = 4/3, तो (sin θ + cos θ) का मान क्या होगा? (Conceptual based on Source 1)</t>
  </si>
  <si>
    <t>सिद्ध करें कि बाह्य बिंदु से वृत्त पर खींची गई स्पर्श रेखाओं की लम्बाइयाँ बराबर होती हैं। (यह प्रमेय है, ऑब्जेक्टिव में कथन के रूप में पूछा जा सकता है)</t>
  </si>
  <si>
    <t>आकृति में XY तथा X’Y’ O केंद्र वाले वृत्त पर दो समांतर स्पर्श रेखाएँ हैं। स्पर्श बिंदु C पर स्पर्श रेखा AB, XY को A तथा X’Y’ को B पर काटती है। ∠AOB का मान है:</t>
  </si>
  <si>
    <t>एक छतरी में 8 ताने (ribs) हैं जो बराबर दूरी पर हैं। छतरी को 45 सेमी त्रिज्या वाला एक सपाट वृत्त मानते हुए, दो क्रमागत तानों के बीच का क्षेत्रफल होगा:</t>
  </si>
  <si>
    <t>22275/28 सेमी²</t>
  </si>
  <si>
    <t>22275/14 सेमी²</t>
  </si>
  <si>
    <t>11135/28 सेमी²</t>
  </si>
  <si>
    <t>21 सेमी त्रिज्या वाले वृत्त के एक चाप द्वारा केंद्र पर 60° का कोण बनता है। त्रिज्यखंड का क्षेत्रफल होगा:</t>
  </si>
  <si>
    <t>231 सेमी²</t>
  </si>
  <si>
    <t>132 सेमी²</t>
  </si>
  <si>
    <t>462 सेमी²</t>
  </si>
  <si>
    <t>210 सेमी²</t>
  </si>
  <si>
    <t>यदि एक वृत्त की परिधि 44 सेमी है, तो वृत्त का क्षेत्रफल होगा:</t>
  </si>
  <si>
    <t>616 सेमी²</t>
  </si>
  <si>
    <t>6 सेमी भुजा वाले एक वर्ग के अंतर्गत खींचे जा सकने वाले सबसे बड़े वृत्त का क्षेत्रफल क्या है?</t>
  </si>
  <si>
    <t>36π सेमी²</t>
  </si>
  <si>
    <t>9π सेमी²</t>
  </si>
  <si>
    <t>12π सेमी²</t>
  </si>
  <si>
    <t>6π सेमी²</t>
  </si>
  <si>
    <t>यदि दो वृत्तों के क्षेत्रफलों का अनुपात 4:9 है, तो उनकी त्रिज्याओं का अनुपात क्या होगा?</t>
  </si>
  <si>
    <t>वृत्त की सबसे बड़ी जीवा होती है:</t>
  </si>
  <si>
    <t>बाह्य स्पर्श करने वाले दो वृत्तों की उभयनिष्ठ स्पर्श रेखाओं की संख्या होती है:</t>
  </si>
  <si>
    <t>7 सेमी त्रिज्या वाले वृत्त का क्षेत्रफल है:</t>
  </si>
  <si>
    <t>144 सेमी²</t>
  </si>
  <si>
    <t>एक पहिए का व्यास 40 सेमी है। 176 मीटर की दूरी तय करने में इसे कितने चक्कर लगाने होंगे?</t>
  </si>
  <si>
    <t>यदि अर्धवृत्त का व्यास 14 सेमी है, तो उसका क्षेत्रफल होगा:</t>
  </si>
  <si>
    <t>रचनाएँ</t>
  </si>
  <si>
    <t>7.6 सेमी लंबा एक रेखाखंड खींचिए और इसे 5:8 के अनुपात में विभाजित कीजिए। दोनों भागों का अनुपात क्या होगा?</t>
  </si>
  <si>
    <t>8:5</t>
  </si>
  <si>
    <t>5:8</t>
  </si>
  <si>
    <t>एक रेखाखंड को 5:8 के अनुपात में विभाजित करने के लिए, न्यूनकोण बनाती हुई किरण AX पर कम से कम कितने बिंदु अंकित करने होंगे?</t>
  </si>
  <si>
    <t>किसी रेखाखंड को m:n के अनुपात में विभाजित करने के लिए, किरण AX पर कितने समान दूरी वाले बिंदु अंकित किए जाते हैं?</t>
  </si>
  <si>
    <t>m - n</t>
  </si>
  <si>
    <t>m × n</t>
  </si>
  <si>
    <t>m + n</t>
  </si>
  <si>
    <t>m / n</t>
  </si>
  <si>
    <t>रेखाखंड के विभाजन की रचना में, किरण AX रेखाखंड के साथ कौन सा कोण बनाती है?</t>
  </si>
  <si>
    <t>ऋजु कोण</t>
  </si>
  <si>
    <t>5 सेमी, 6 सेमी और 7 सेमी भुजाओं वाले एक त्रिभुज की रचना करें और फिर एक अन्य त्रिभुज की रचना करें जिसकी भुजाएं दिए गए त्रिभुज की संगत भुजाओं की 7/5 गुनी हों। नया त्रिभुज कैसा होगा?</t>
  </si>
  <si>
    <t>मूल त्रिभुज से छोटा</t>
  </si>
  <si>
    <t>मूल त्रिभुज से बड़ा</t>
  </si>
  <si>
    <t>मूल त्रिभुज के बराबर</t>
  </si>
  <si>
    <t>एक त्रिभुज ABC की रचना के लिए जिसमें BC=7cm, ∠B=45° और ∠A=105° है, तो ∠C का मान क्या होगा जिसे रचना के लिए ज्ञात करना आवश्यक है?</t>
  </si>
  <si>
    <t>यदि संगत भुजाओं का अनुपात 3/4 है, तो बनने वाला नया समरूप त्रिभुज मूल त्रिभुज से कैसा होगा?</t>
  </si>
  <si>
    <t>एक रेखाखंड को 3:2 के अनुपात में विभाजित करने के लिए, किरण AX पर अंकित बिंदुओं में से किस बिंदु को अंतिम छोर B से मिलाया जाएगा?</t>
  </si>
  <si>
    <t>A3</t>
  </si>
  <si>
    <t>A2</t>
  </si>
  <si>
    <t>A5</t>
  </si>
  <si>
    <t>A1</t>
  </si>
  <si>
    <t>4 सेमी, 5 सेमी और 6 सेमी भुजाओं वाले त्रिभुज के समरूप एक त्रिभुज की रचना करनी है जिसकी भुजाएं 2/3 गुनी हों। इसके लिए किरण AX पर कितने बिंदु अंकित करने होंगे?</t>
  </si>
  <si>
    <t>बाह्य बिंदु से वृत्त पर कितनी स्पर्श रेखाएं खींची जा सकती हैं?</t>
  </si>
  <si>
    <t>वृत्त के किसी बिंदु पर स्पर्श रेखा और स्पर्श बिंदु से जाने वाली त्रिज्या के बीच का कोण कितना होता है?</t>
  </si>
  <si>
    <t>एक वृत्त की त्रिज्या 6 सेमी है। केंद्र से 10 सेमी दूर स्थित एक बिंदु से स्पर्श रेखा खींची गई है। स्पर्श रेखा की रचना के लिए किस रेखाखंड का समद्विभाजन करना आवश्यक है?</t>
  </si>
  <si>
    <t>त्रिज्या का</t>
  </si>
  <si>
    <t>जीवा का</t>
  </si>
  <si>
    <t>केंद्र और बाह्य बिंदु को मिलाने वाली रेखा का</t>
  </si>
  <si>
    <t>स्पर्श रेखा का</t>
  </si>
  <si>
    <t>किसी रेखाखंड का लंब समद्विभाजक खींचने के लिए, प्रकार (compass) को रेखाखंड की लंबाई के कितने भाग से अधिक खोलना चाहिए?</t>
  </si>
  <si>
    <t>आधे से कम</t>
  </si>
  <si>
    <t>एक चौथाई</t>
  </si>
  <si>
    <t>आधे से अधिक</t>
  </si>
  <si>
    <t>पूरी लंबाई</t>
  </si>
  <si>
    <t>एक समकोण त्रिभुज की रचना करें जिसका आधार 4 सेमी और लंब 3 सेमी है। कर्ण की लंबाई क्या होगी?</t>
  </si>
  <si>
    <t>60 डिग्री का कोण बनाने के लिए, पहले चाप को केंद्र मानकर उसी त्रिज्या से कितनी बार काटना पड़ता है?</t>
  </si>
  <si>
    <t>1 बार</t>
  </si>
  <si>
    <t>2 बार</t>
  </si>
  <si>
    <t>3 बार</t>
  </si>
  <si>
    <t>4 बार</t>
  </si>
  <si>
    <t>30 डिग्री का कोण बनाने के लिए किस कोण का समद्विभाजन (bisect) किया जाता है?</t>
  </si>
  <si>
    <t>यदि स्केल गुणक (Scale Factor) 7/5 है, तो किरण AX पर किस बिंदु से समांतर रेखा खींची जाएगी?</t>
  </si>
  <si>
    <t>A7</t>
  </si>
  <si>
    <t>A12</t>
  </si>
  <si>
    <t>यदि स्केल गुणक 3/4 है, तो किरण AX पर किस बिंदु को आधार के अंतिम बिंदु (B) से मिलाया जाएगा?</t>
  </si>
  <si>
    <t>A4</t>
  </si>
  <si>
    <t>किसी वृत्त के व्यास के सिरों पर खींची गई स्पर्श रेखाएँ आपस में कैसी होती हैं? (रचना आधारित प्रमेय)</t>
  </si>
  <si>
    <t>वृत्त के अंदर स्थित किसी बिंदु से वृत्त पर कितनी स्पर्श रेखाएं खींची जा सकती हैं?</t>
  </si>
  <si>
    <t>रचना के चरण लिखते समय, यदि हमने 'A को केंद्र मानकर चाप लगाया' तो अगला तार्किक चरण क्या होता है?</t>
  </si>
  <si>
    <t>कोण मापना</t>
  </si>
  <si>
    <t>कटान बिंदु अंकित करना</t>
  </si>
  <si>
    <t>रेखा मिटाना</t>
  </si>
  <si>
    <t>90 डिग्री का कोण बनाने के लिए 60 डिग्री और किस कोण के बीच समद्विभाजन किया जाता है?</t>
  </si>
  <si>
    <t>एक दी गई रेखा के समांतर रेखा खींचने के लिए किस गुण का उपयोग किया जाता है?</t>
  </si>
  <si>
    <t>संगत कोण बराबर होते हैं</t>
  </si>
  <si>
    <t>एकांतर कोण बराबर होते हैं</t>
  </si>
  <si>
    <t>शीर्षाभिमुख कोण बराबर होते हैं</t>
  </si>
  <si>
    <t>आसन्न कोण बराबर होते हैं</t>
  </si>
  <si>
    <t>3 सेमी त्रिज्या का एक वृत्त खींचने के बाद, उस पर स्पर्श रेखा खींचने के लिए केंद्र का उपयोग किए बिना कौन सी विधि अपनाई जाती है?</t>
  </si>
  <si>
    <t>जीवा और एकांतर वृत्तखंड प्रमेय</t>
  </si>
  <si>
    <t>थेल्स प्रमेय</t>
  </si>
  <si>
    <t>5.8 सेमी रेखाखंड को 4:3 में विभाजित करने के लिए किरण AX पर बिंदुओं की न्यूनतम संख्या क्या होगी?</t>
  </si>
  <si>
    <t>आधारभूत समानुपातिक प्रमेय (थेल्स प्रमेय) का उपयोग किस रचना के औचित्य में किया जाता है?</t>
  </si>
  <si>
    <t>स्पर्श रेखा खींचने में</t>
  </si>
  <si>
    <t>रेखाखंड का विभाजन करने में</t>
  </si>
  <si>
    <t>कोण बनाने में</t>
  </si>
  <si>
    <t>वृत्त का केंद्र खोजने में</t>
  </si>
  <si>
    <t>15 डिग्री का कोण बनाने के लिए किस कोण का समद्विभाजन करना होगा?</t>
  </si>
  <si>
    <t>4 सेमी और 3 सेमी भुजा वाले आयत के विकर्ण की रचना करने पर विकर्ण की लंबाई क्या होगी?</t>
  </si>
  <si>
    <t>105 डिग्री का कोण बनाने के लिए किन दो कोणों के बीच का कोण लिया जाता है?</t>
  </si>
  <si>
    <t>60° और 90°</t>
  </si>
  <si>
    <t>90° और 120°</t>
  </si>
  <si>
    <t>120° और 180°</t>
  </si>
  <si>
    <t>30° और 60°</t>
  </si>
  <si>
    <t>एक त्रिभुज जिसकी भुजाएँ 3 सेमी, 4 सेमी और 5 सेमी हैं, वह किस प्रकार का त्रिभुज होगा?</t>
  </si>
  <si>
    <t>7.6 सेमी रेखाखंड को 5:8 में विभाजित करने पर बड़ा भाग लगभग कितना होगा?</t>
  </si>
  <si>
    <t>2.9 सेमी</t>
  </si>
  <si>
    <t>4.7 सेमी</t>
  </si>
  <si>
    <t>5.0 सेमी</t>
  </si>
  <si>
    <t>रचना बनाते समय, परकार (compass) और पेंसिल में किसकी नोक छोटी होनी चाहिए?</t>
  </si>
  <si>
    <t>पेंसिल की</t>
  </si>
  <si>
    <t>परकार की</t>
  </si>
  <si>
    <t>दोनों बराबर</t>
  </si>
  <si>
    <t>कोई फर्क नहीं पड़ता</t>
  </si>
  <si>
    <t>ज्यामिति बॉक्स में 'प्रोटेक्टर' (चांदा) का मुख्य उपयोग क्या है?</t>
  </si>
  <si>
    <t>रेखा खींचना</t>
  </si>
  <si>
    <t>चाप काटना</t>
  </si>
  <si>
    <t>दूरी मापना</t>
  </si>
  <si>
    <t>3.5 सेमी त्रिज्या वाले वृत्त के केंद्र से 6 सेमी दूर स्थित बिंदु से स्पर्श रेखा खींचने के लिए सबसे पहले क्या करते हैं?</t>
  </si>
  <si>
    <t>त्रिज्या खींचते हैं</t>
  </si>
  <si>
    <t>6 सेमी रेखाखंड खींचते हैं</t>
  </si>
  <si>
    <t>स्पर्श रेखा खींचते हैं</t>
  </si>
  <si>
    <t>कोण बनाते हैं</t>
  </si>
  <si>
    <t>किसी बाह्य बिंदु से वृत्त पर खींची गई दोनों स्पर्श रेखाओं की लंबाइयों में क्या संबंध होता है?</t>
  </si>
  <si>
    <t>पहली बड़ी होती है</t>
  </si>
  <si>
    <t>दूसरी बड़ी होती है</t>
  </si>
  <si>
    <t>दोनों बराबर होती हैं</t>
  </si>
  <si>
    <t>6.2 सेमी लंबा रेखाखंड खींचकर उसे 3:5 के अनुपात में विभाजित करने के लिए, किरण AX पर न्यूनतम कितने बिंदु अंकित करने होंगे?</t>
  </si>
  <si>
    <t>यदि स्केल गुणक 3/4 है (छोटा त्रिभुज बनाना है), तो किरण BX पर किस बिंदु को त्रिभुज के आधार के अंतिम बिंदु (C) से मिलाया जाएगा?</t>
  </si>
  <si>
    <t>B3</t>
  </si>
  <si>
    <t>B4</t>
  </si>
  <si>
    <t>B7</t>
  </si>
  <si>
    <t>B1</t>
  </si>
  <si>
    <t>किसी रेखाखंड को 4:3 के अनुपात में 'अंतः विभाजित' करने के लिए, किरण AX और BY (दोनों ओर) खींचने पर, A को किस बिंदु से और B को किस बिंदु से मिलाया जाता है?</t>
  </si>
  <si>
    <t>A4 को B3 से</t>
  </si>
  <si>
    <t>A3 को B4 से</t>
  </si>
  <si>
    <t>A4 को B4 से</t>
  </si>
  <si>
    <t>A7 को B7 से</t>
  </si>
  <si>
    <t>एक त्रिभुज ABC की रचना के लिए, यदि BC=6cm, AB=5cm और ∠ABC=60° है, तो समरूप त्रिभुज (3/4 गुनी भुजा) बनाने के लिए किरण BX पर कितने चाप लगाए जाएंगे?</t>
  </si>
  <si>
    <t>5.8 सेमी रेखाखंड को 4:3 के अनुपात में विभाजित करने पर, दोनों भागों का योग किसके बराबर होगा?</t>
  </si>
  <si>
    <t>5.8 सेमी</t>
  </si>
  <si>
    <t>4.3 सेमी</t>
  </si>
  <si>
    <t>1.2 सेमी</t>
  </si>
  <si>
    <t>8 सेमी लंबे रेखाखंड का लंब समद्विभाजक खींचने के लिए, प्रकार (compass) में त्रिज्या कितनी लेनी चाहिए?</t>
  </si>
  <si>
    <t>4 सेमी से कम</t>
  </si>
  <si>
    <t>4 सेमी से अधिक</t>
  </si>
  <si>
    <t>4 सेमी, 5 सेमी और 6 सेमी भुजाओं वाले त्रिभुज की रचना करते समय, 'दिशा ऑनलाइन क्लासेज' के अनुसार आधार (base) किसे मानना सबसे उपयुक्त है?</t>
  </si>
  <si>
    <t>सबसे छोटी भुजा (4)</t>
  </si>
  <si>
    <t>सबसे बड़ी भुजा (6)</t>
  </si>
  <si>
    <t>बीच वाली भुजा (5)</t>
  </si>
  <si>
    <t>कोई भी भुजा</t>
  </si>
  <si>
    <t>यदि हमें 121​ गुनी (डेढ़ गुनी) भुजाओं वाला समरूप त्रिभुज बनाना है, तो किरण AX पर कितने बिंदु अंकित किए जाएंगे?</t>
  </si>
  <si>
    <t>105 डिग्री का कोण बनाने के लिए, 90 डिग्री और किस कोण के बीच समद्विभाजन (bisect) किया जा सकता है?</t>
  </si>
  <si>
    <t>7.6 सेमी रेखाखंड को 5:8 में विभाजित करने पर, दोनों भागों का अनुपात मापने पर लगभग क्या प्राप्त होता है?</t>
  </si>
  <si>
    <t>2.9 सेमी और 4.7 सेमी</t>
  </si>
  <si>
    <t>3 सेमी और 4.6 सेमी</t>
  </si>
  <si>
    <t>3.5 सेमी और 4.1 सेमी</t>
  </si>
  <si>
    <t>2.5 सेमी और 5.1 सेमी</t>
  </si>
  <si>
    <t>परकार (compass) में पेंसिल लगाते समय, पेंसिल की नोक परकार की नोक से कैसी होनी चाहिए?</t>
  </si>
  <si>
    <t>बहुत मोटी</t>
  </si>
  <si>
    <t>प्रोटेक्टर (चांदा) में 0 डिग्री के ठीक ऊपर कौन सा कोण लिखा होता है?</t>
  </si>
  <si>
    <t>15 डिग्री का कोण बनाने के लिए किस कोण का आधा करना पड़ता है?</t>
  </si>
  <si>
    <t>यदि एक रेखाखंड 6.5 सेमी है और इसे 5:3 के अनुपात में बांटना है, तो किरण AX पर काटे गए चाप (A1​,A2​...) आपस में कैसे होने चाहिए?</t>
  </si>
  <si>
    <t>बढ़ते हुए क्रम में</t>
  </si>
  <si>
    <t>घटते हुए क्रम में</t>
  </si>
  <si>
    <t>त्रिभुज के तीनों कोणों का योग कितना होता है, जिसका उपयोग तीसरी भुजा का कोण निकालने में किया जाता है (जैसे ∠C निकालना)?</t>
  </si>
  <si>
    <t>एक समकोण त्रिभुज की रचना के लिए जिसका कर्ण ज्ञात न हो, हमें कम से कम क्या ज्ञात होना चाहिए?</t>
  </si>
  <si>
    <t>आधार और लंब</t>
  </si>
  <si>
    <t>केवल आधार</t>
  </si>
  <si>
    <t>केवल एक कोण</t>
  </si>
  <si>
    <t>तीनों कोण</t>
  </si>
  <si>
    <t>80 डिग्री का कोण बनाने के लिए, यदि हम 60 डिग्री (A) और 120 डिग्री (C) के बीच का भाग लेते हैं, तो यह किसके द्वारा संभव है?</t>
  </si>
  <si>
    <t>केवल पटरी और परकार</t>
  </si>
  <si>
    <t>केवल चांदा (Protractor)</t>
  </si>
  <si>
    <t>दोनों से</t>
  </si>
  <si>
    <t>रचना के चरण लिखते समय, यदि हमने A3​ को B से मिलाया, तो अगली समांतर रेखा किस बिंदु से खींची जाएगी यदि अनुपात 5:3 है?</t>
  </si>
  <si>
    <t>A2​</t>
  </si>
  <si>
    <t>A5​</t>
  </si>
  <si>
    <t>A1​</t>
  </si>
  <si>
    <t>A8​</t>
  </si>
  <si>
    <t>वृत्त के केंद्र से 10 सेमी दूर स्थित बिंदु से स्पर्श रेखा खींचने के लिए, सबसे पहले किस रेखाखंड का लंब समद्विभाजन करते हैं?</t>
  </si>
  <si>
    <t>व्यास का</t>
  </si>
  <si>
    <t>6 सेमी त्रिज्या वाले वृत्त पर स्पर्श रेखा खींचने के लिए, प्रकार को कितना खोलना होता है?</t>
  </si>
  <si>
    <t>समरूप त्रिभुज की रचना में, यदि स्केल गुणक 5/7 है, तो बनने वाला त्रिभुज मूल त्रिभुज से कैसा होगा?</t>
  </si>
  <si>
    <t>बहुत बड़ा</t>
  </si>
  <si>
    <t>3 सेमी, 4 सेमी, 5 सेमी भुजाओं वाले त्रिभुज में सबसे बड़ी भुजा कौन सी है?</t>
  </si>
  <si>
    <t>AB</t>
  </si>
  <si>
    <t>BC</t>
  </si>
  <si>
    <t>AC (कर्ण)</t>
  </si>
  <si>
    <t>यदि संगत भुजाओं का अनुपात 7/5 है, तो नया त्रिभुज मूल त्रिभुज का कितना गुना होगा?</t>
  </si>
  <si>
    <t>1.4 गुना</t>
  </si>
  <si>
    <t>0.7 गुना</t>
  </si>
  <si>
    <t>2 गुना</t>
  </si>
  <si>
    <t>5 गुना</t>
  </si>
  <si>
    <t>ज्यामिति बॉक्स में 'डिवाइडर' (Divider) का मुख्य उपयोग क्या है?</t>
  </si>
  <si>
    <t>दूरी की तुलना करना/मापना</t>
  </si>
  <si>
    <t>वृत्त बनाना</t>
  </si>
  <si>
    <t>यदि हमें 135 डिग्री का कोण बनाना है, तो हम 90 डिग्री और किस कोण के बीच समद्विभाजन करेंगे?</t>
  </si>
  <si>
    <t>किसी रेखाखंड AB को m:n में विभाजित करने पर, यदि m+n बिंदु अंकित किए जाते हैं, तो अंतिम बिंदु को किससे मिलाया जाता है?</t>
  </si>
  <si>
    <t>A से</t>
  </si>
  <si>
    <t>B से</t>
  </si>
  <si>
    <t>मध्य बिंदु से</t>
  </si>
  <si>
    <t>किसी से नहीं</t>
  </si>
  <si>
    <t>आधारभूत समानुपातिक प्रमेय (BPT) का प्रयोग किस रचना के औचित्य (justification) के लिए किया जाता है?</t>
  </si>
  <si>
    <t>समरूप त्रिभुज और रेखा विभाजन</t>
  </si>
  <si>
    <t>लंब केंद्र</t>
  </si>
  <si>
    <t>30 डिग्री का कोण बनाने के लिए, 60 डिग्री के कोण का क्या किया जाता है?</t>
  </si>
  <si>
    <t>समद्विभाजन (आधा)</t>
  </si>
  <si>
    <t>कुछ नहीं</t>
  </si>
  <si>
    <t>किसी बाह्य बिंदु से वृत्त पर खींची गई स्पर्श रेखाओं की लंबाई मापने पर कैसी होनी चाहिए?</t>
  </si>
  <si>
    <t>एक दूसरे की दोगुनी</t>
  </si>
  <si>
    <t>90 डिग्री का कोण बनाने के लिए चाप को कितनी बार काटा जाता है (60-60 के अंतराल पर)?</t>
  </si>
  <si>
    <t>6 सेमी त्रिज्या वाले वृत्त के केंद्र से 10 सेमी दूर स्थित बिंदु से स्पर्श रेखा खींचने पर स्पर्श रेखा की लंबाई लगभग कितनी होगी? (पाइथागोरस प्रमेय अनुसार)</t>
  </si>
  <si>
    <t>यदि एक त्रिभुज की भुजाएं 4 सेमी, 5 सेमी, 6 सेमी हैं, तो क्या यह समकोण त्रिभुज है?</t>
  </si>
  <si>
    <t>जानकारी अधूरी है</t>
  </si>
  <si>
    <t>45 डिग्री का कोण बनाने के लिए सबसे पहले किस कोण की रचना करना अनिवार्य है?</t>
  </si>
  <si>
    <t>रचना के चरण' लिखना परीक्षा में क्यों आवश्यक है?</t>
  </si>
  <si>
    <t>केवल समय काटने के लिए</t>
  </si>
  <si>
    <t>चित्र को समझाने और अंक प्राप्त करने के लिए</t>
  </si>
  <si>
    <t>यह जरूरी नहीं है</t>
  </si>
  <si>
    <t>केवल शिक्षक के लिए</t>
  </si>
  <si>
    <t>60 डिग्री का कोण बनाने के लिए, आधार रेखा पर चाप कहाँ से लगाया जाता है?</t>
  </si>
  <si>
    <t>रेखा के मध्य से</t>
  </si>
  <si>
    <t>रेखा के अंतिम बिंदु (vertex) से</t>
  </si>
  <si>
    <t>रेखा के बाहर से</t>
  </si>
  <si>
    <t>कहीं से भी</t>
  </si>
  <si>
    <t>11.2 प्रश्नावली का मुख्य विषय क्या है?</t>
  </si>
  <si>
    <t>रेखा विभाजन</t>
  </si>
  <si>
    <t>समरूप त्रिभुज</t>
  </si>
  <si>
    <t>वृत्त पर स्पर्श रेखा</t>
  </si>
  <si>
    <t>चतुर्भुज की रचना</t>
  </si>
  <si>
    <t>यदि 3/2 गुनी भुजा वाला त्रिभुज बनाना है, तो यह किस प्रकार का भिन्न (fraction) है?</t>
  </si>
  <si>
    <t>उचित भिन्न (Proper)</t>
  </si>
  <si>
    <t>अनुचित भिन्न (Improper)</t>
  </si>
  <si>
    <t>मिश्रित भिन्न</t>
  </si>
  <si>
    <t>दशमलव</t>
  </si>
  <si>
    <t>रचना करते समय पेंसिल कैसी होनी चाहिए?</t>
  </si>
  <si>
    <t>नोकदार और पतली</t>
  </si>
  <si>
    <t>मोटी और भद्दी</t>
  </si>
  <si>
    <t>टूटी हुई</t>
  </si>
  <si>
    <t>बहुत छोटी</t>
  </si>
  <si>
    <t>5 सेमी, 6 सेमी और 7 सेमी भुजा वाले त्रिभुज में, यदि 7 सेमी को आधार माना जाए, तो शीर्ष लंब कहाँ से गिरेगा?</t>
  </si>
  <si>
    <t>5 सेमी और 6 सेमी के मिलन बिंदु से</t>
  </si>
  <si>
    <t>7 सेमी के मध्य बिंदु से</t>
  </si>
  <si>
    <t>5 सेमी वाली भुजा से</t>
  </si>
  <si>
    <t>कहीं से नहीं</t>
  </si>
  <si>
    <t>यदि रेखाखंड को 2:3 में विभाजित करना है, और गलती से 3:2 में विभाजित कर दिया, तो बिंदु किस ओर खिसक जाएगा?</t>
  </si>
  <si>
    <t>A की ओर</t>
  </si>
  <si>
    <t>B की ओर</t>
  </si>
  <si>
    <t>मध्य में रहेगा</t>
  </si>
  <si>
    <t>बाहर चला जाएगा</t>
  </si>
  <si>
    <t>वृत्तों से संबंधित क्षेत्रफल</t>
  </si>
  <si>
    <t>यदि एक वृत्त का परिमाप और क्षेत्रफल संख्यात्मक रूप से बराबर है, तो उस वृत्त की त्रिज्या है:</t>
  </si>
  <si>
    <t>64π cm² क्षेत्रफल वाले वृत्त का व्यास है:</t>
  </si>
  <si>
    <t>16 cm</t>
  </si>
  <si>
    <t>20 cm</t>
  </si>
  <si>
    <t>17 cm</t>
  </si>
  <si>
    <t>यदि वृत्त की त्रिज्या 7 cm है, तो उस अर्द्धवृत्त की परिमिति होगी:</t>
  </si>
  <si>
    <t>36 cm</t>
  </si>
  <si>
    <t>63 cm</t>
  </si>
  <si>
    <t>37 cm</t>
  </si>
  <si>
    <t>दो वृत्तों के क्षेत्रफलों का अनुपात 4 : 1 है, तो उनकी त्रिज्याओं का अनुपात है:</t>
  </si>
  <si>
    <t>4 : 1</t>
  </si>
  <si>
    <t>1 : 2</t>
  </si>
  <si>
    <t>1 : 4</t>
  </si>
  <si>
    <t>यदि एक वृत्त का क्षेत्रफल 154 cm² है, तो इसकी परिधि है:</t>
  </si>
  <si>
    <t>22 cm</t>
  </si>
  <si>
    <t>33 cm</t>
  </si>
  <si>
    <t>44 cm</t>
  </si>
  <si>
    <t>66 cm</t>
  </si>
  <si>
    <t>एक घड़ी की मिनट की सूई 21 cm लंबी है। इसके द्वारा 10 मिनट में रचित क्षेत्रफल है:</t>
  </si>
  <si>
    <t>126 cm²</t>
  </si>
  <si>
    <t>210 cm²</t>
  </si>
  <si>
    <t>231 cm²</t>
  </si>
  <si>
    <t>252 cm²</t>
  </si>
  <si>
    <t>कोण θ वाले त्रिज्यखंड के संगत चाप की लंबाई होगी (त्रिज्या R):</t>
  </si>
  <si>
    <t>2πrθ/180</t>
  </si>
  <si>
    <t>2πRθ/360</t>
  </si>
  <si>
    <t>2πR²θ/180</t>
  </si>
  <si>
    <t>2πR²θ/360</t>
  </si>
  <si>
    <t>दो वृत्तों की परिधियाँ 2 : 3 के अनुपात में है, तो उनकी त्रिज्याओं का अनुपात होगा:</t>
  </si>
  <si>
    <t>4 : 9</t>
  </si>
  <si>
    <t>8 : 27</t>
  </si>
  <si>
    <t>10 सेमी त्रिज्या वाले अर्धवृत्त की कुल परिमिति होगी:</t>
  </si>
  <si>
    <t>p त्रिज्या वाले वृत्त में कोण θ के त्रिज्यखंड का क्षेत्रफल है:</t>
  </si>
  <si>
    <t>pθ/360</t>
  </si>
  <si>
    <t>pθ/180</t>
  </si>
  <si>
    <t>p²θ/360</t>
  </si>
  <si>
    <t>p²θ/180</t>
  </si>
  <si>
    <t>यदि किसी वृत्त की त्रिज्या दुगुनी कर दी जाए तो पुराने एवं नये वृत्तों के क्षेत्रफलों का अनुपात क्या होगा?</t>
  </si>
  <si>
    <t>यदि किसी वृत्त की त्रिज्या आधी कर दी जाए, तो पुराने तथा नये वृत्तों की परिधियों का अनुपात होगा:</t>
  </si>
  <si>
    <t>एक पहिए का व्यास 40 cm है। 176m की दूरी तय करने में इसे कितने चक्कर लगाने पड़ेंगे?</t>
  </si>
  <si>
    <t>यदि एक वृत्त की परिधि 132 cm है, तो इसकी त्रिज्या है:</t>
  </si>
  <si>
    <t>42 cm</t>
  </si>
  <si>
    <t>21 cm</t>
  </si>
  <si>
    <t>किसी वृत्ताकार क्षेत्र की परिधि 4π मीटर है तो उसकी त्रिज्या होगी:</t>
  </si>
  <si>
    <t>1 मीटर</t>
  </si>
  <si>
    <t>2 मीटर</t>
  </si>
  <si>
    <t>π मीटर</t>
  </si>
  <si>
    <t>दो वृत्तों के क्षेत्रफल 4 : 9 के अनुपात में है, इनकी त्रिज्याओं का अनुपात होगा:</t>
  </si>
  <si>
    <t>3 : 4</t>
  </si>
  <si>
    <t>5 : 3</t>
  </si>
  <si>
    <t>कोण θ वाले त्रिज्यखंड का क्षेत्रफल होगा:</t>
  </si>
  <si>
    <t>θ/270 × π r³</t>
  </si>
  <si>
    <t>π/360 × π r</t>
  </si>
  <si>
    <t>θ/270 × π r²</t>
  </si>
  <si>
    <t>θ/360 × π r²</t>
  </si>
  <si>
    <t>यदि किसी वृत्त की त्रिज्या K गुनी कर दी जाए तो पुराने और नए वृत्तों के क्षेत्रफलों का अनुपात क्या होगा?</t>
  </si>
  <si>
    <t>1 : K</t>
  </si>
  <si>
    <t>1 : K³</t>
  </si>
  <si>
    <t>1 : K²</t>
  </si>
  <si>
    <t>K² : 1</t>
  </si>
  <si>
    <t>दो वृत्तों की त्रिज्याओं का अनुपात 3 : 4 है, तो उनके क्षेत्रफलों का अनुपात होगा:</t>
  </si>
  <si>
    <t>4 : 7</t>
  </si>
  <si>
    <t>9 : 16</t>
  </si>
  <si>
    <t>यदि वृत्त का क्षेत्रफल 154 cm² है, तो इसके व्यास का मान होगा:</t>
  </si>
  <si>
    <t>14 cm</t>
  </si>
  <si>
    <t>28 cm</t>
  </si>
  <si>
    <t>एक वृत्त का क्षेत्रफल एक दूसरे वृत्त के क्षेत्रफल का 16 गुना है, तो उनकी त्रिज्याओं का अनुपात है:</t>
  </si>
  <si>
    <t>1 : 16</t>
  </si>
  <si>
    <t>किसी वृत्त में केन्द्रीय कोण 90° वाला त्रिज्यखंड काट लिया जाए तो वृत्त और कटे हुए भाग के क्षेत्रफल का अनुपात क्या होगा:</t>
  </si>
  <si>
    <t>यदि एक अर्द्धवृत्त का परिमाप 72 सेमी है, तो इसकी त्रिज्या है: (π = 22/7)</t>
  </si>
  <si>
    <t>35 cm</t>
  </si>
  <si>
    <t>38.5 सेमी² क्षेत्रफल वाले वृत्त की त्रिज्या है:</t>
  </si>
  <si>
    <t>6 cm त्रिज्या वाले अर्धवृत्त की कुल परिमिति होगी:</t>
  </si>
  <si>
    <t>(π + 1)6 cm</t>
  </si>
  <si>
    <t>(π + 2)6 cm</t>
  </si>
  <si>
    <t>(π + 3)6 cm</t>
  </si>
  <si>
    <t>6π cm</t>
  </si>
  <si>
    <t>21 cm त्रिज्या वाले वृत्त के उस चाप की लंबाई क्या होगी जो वृत्त के केन्द्र पर 60° का कोण अंतरित करता है?</t>
  </si>
  <si>
    <t>23 cm</t>
  </si>
  <si>
    <t>दो वृत्तों के परिधियों का अनुपात 3 : 4 है, तो उनकी क्षेत्रफलों की अनुपात है:</t>
  </si>
  <si>
    <t>4 : 3</t>
  </si>
  <si>
    <t>16 : 9</t>
  </si>
  <si>
    <t>एक घड़ी के मिनट वाली सूई द्वारा 60 मिनट में बनाया गया कोण होता है:</t>
  </si>
  <si>
    <t>यदि 'd' एक वृत्त का व्यास हो, तो उसका क्षेत्रफल होगा:</t>
  </si>
  <si>
    <t>πd² वर्ग इकाई</t>
  </si>
  <si>
    <t>(πd²)/2 वर्ग इकाई</t>
  </si>
  <si>
    <t>(πd²)/3 वर्ग इकाई</t>
  </si>
  <si>
    <t>(πd²)/4 वर्ग इकाई</t>
  </si>
  <si>
    <t>44 मी परिधि वाले वृत्त की त्रिज्या होगी:</t>
  </si>
  <si>
    <t>7 मी</t>
  </si>
  <si>
    <t>44 मी</t>
  </si>
  <si>
    <t>यदि वर्ग का विकर्ण 16√2 cm है, तो वर्ग की भुजा की लम्बाई होगी:</t>
  </si>
  <si>
    <t>4 cm</t>
  </si>
  <si>
    <t>256 cm</t>
  </si>
  <si>
    <t>4√2 cm</t>
  </si>
  <si>
    <t>एक वृत्ताकार पथ पर तीन धावक एक ही स्थान से दौड़ना शुरू करते हैं, तो एक चक्कर लगाने में क्रमशः 1 घंटा, 3 घंटे और 5 घंटे लगते हैं तो तीनों को मिलने में समय लगेगा:</t>
  </si>
  <si>
    <t>3 घंटे</t>
  </si>
  <si>
    <t>5 घंटे</t>
  </si>
  <si>
    <t>1 घंटा</t>
  </si>
  <si>
    <t>15 घंटे</t>
  </si>
  <si>
    <t>यदि किसी वृत्त की त्रिज्या दुगुनी कर दी जाए तो नये एवं पुराने वृत्तों की परिधियों का अनुपात होगा:</t>
  </si>
  <si>
    <t>8 cm त्रिज्या वाले वृत्त के अंत: वर्ग का क्षेत्रफल है:</t>
  </si>
  <si>
    <t>64 cm²</t>
  </si>
  <si>
    <t>100 cm²</t>
  </si>
  <si>
    <t>125 cm²</t>
  </si>
  <si>
    <t>128 cm²</t>
  </si>
  <si>
    <t>यदि एक वृत्त की परिधि 2π से बढ़ाकर 4π कर दी जाए, तो उसका क्षेत्रफल होगा:</t>
  </si>
  <si>
    <t>तीन गुना</t>
  </si>
  <si>
    <t>चार गुना</t>
  </si>
  <si>
    <t>यदि किसी परिधि की माप 220m हो, तो उसकी त्रिज्या का मान निम्नलिखित में कौन-सा होगा?</t>
  </si>
  <si>
    <t>30m</t>
  </si>
  <si>
    <t>35m</t>
  </si>
  <si>
    <t>54m</t>
  </si>
  <si>
    <t>55m</t>
  </si>
  <si>
    <t>त्रिज्या R वाले वृत्त के उस त्रिज्यखण्ड का क्षेत्रफल जिसका कोण p° है, निम्नलिखित है:</t>
  </si>
  <si>
    <t>p/180 × 2πR</t>
  </si>
  <si>
    <t>p/180 × 2πR²</t>
  </si>
  <si>
    <t>p/360 × 2πR</t>
  </si>
  <si>
    <t>p/720 × 2πR²</t>
  </si>
  <si>
    <t>वलय (Ring) का क्षेत्रफल का सूत्र है (R=बाहरी त्रिज्या, r=भीतरी त्रिज्या):</t>
  </si>
  <si>
    <t>π(R² + r²)</t>
  </si>
  <si>
    <t>π(R² - r²)</t>
  </si>
  <si>
    <t>π(R - r)</t>
  </si>
  <si>
    <t>2π(R² - r²)</t>
  </si>
  <si>
    <t>5 चक्कर में 14 सेमी त्रिज्या वाले पहिए द्वारा तय की गई दूरी है:</t>
  </si>
  <si>
    <t>400 cm</t>
  </si>
  <si>
    <t>440 cm</t>
  </si>
  <si>
    <t>280 cm</t>
  </si>
  <si>
    <t>380 cm</t>
  </si>
  <si>
    <t>यदि वृत्त का परिधि 10π सेमी है, तो इसका क्षेत्रफल क्या होगा?</t>
  </si>
  <si>
    <t>20π cm²</t>
  </si>
  <si>
    <t>25π cm²</t>
  </si>
  <si>
    <t>10π cm²</t>
  </si>
  <si>
    <t>50π cm²</t>
  </si>
  <si>
    <t>अर्धवृत्त का परिमाप 36 cm है, तो इसकी त्रिज्या क्या होगी?</t>
  </si>
  <si>
    <t>यदि किसी वृत्त की त्रिज्या k गुनी कर दी जाए तो पुराने और नए वृत्तों के क्षेत्रफल का अनुपात क्या होगा?</t>
  </si>
  <si>
    <t>1 : k</t>
  </si>
  <si>
    <t>1 : k²</t>
  </si>
  <si>
    <t>k² : 1</t>
  </si>
  <si>
    <t>k : 1</t>
  </si>
  <si>
    <t>दो वृत्तों की त्रिज्याओं का अनुपात 16 : 25 है, तो उनके परिमाप का अनुपात होगा:</t>
  </si>
  <si>
    <t>4 : 5</t>
  </si>
  <si>
    <t>16 : 25</t>
  </si>
  <si>
    <t>256 : 625</t>
  </si>
  <si>
    <t>25 : 16</t>
  </si>
  <si>
    <t>एक पहिए का व्यास 42 सेमी है। दो चक्कर में तय की गई दूरी होगी:</t>
  </si>
  <si>
    <t>132 cm</t>
  </si>
  <si>
    <t>264 cm</t>
  </si>
  <si>
    <t>396 cm</t>
  </si>
  <si>
    <t>528 cm</t>
  </si>
  <si>
    <t>k(π + 2)</t>
  </si>
  <si>
    <t>k(π + 1)</t>
  </si>
  <si>
    <t>एक वृत्त का परिधि तथा त्रिज्या का योग 51 है, तो वृत्त की त्रिज्या होगी:</t>
  </si>
  <si>
    <t>3.5 cm</t>
  </si>
  <si>
    <t>किसी वृत्त की परिधि 462 सेमी है, तो इसकी त्रिज्या होगी:</t>
  </si>
  <si>
    <t>73.5 cm</t>
  </si>
  <si>
    <t>74.5 cm</t>
  </si>
  <si>
    <t>65.5 cm</t>
  </si>
  <si>
    <t>72.5 cm</t>
  </si>
  <si>
    <t>यदि वृत्त का व्यास 14 सेमी है, तो इसकी परिधि होगी:</t>
  </si>
  <si>
    <t>88 cm</t>
  </si>
  <si>
    <t>55 cm</t>
  </si>
  <si>
    <t>दो वृत्तों की त्रिज्याएँ क्रमशः 19 cm और 9 cm हैं। उस वृत्त की त्रिज्या क्या होगी जिसकी परिधि इन दोनों वृत्तों की परिधियों के योग के बराबर है?</t>
  </si>
  <si>
    <t>18 cm</t>
  </si>
  <si>
    <t>26 cm</t>
  </si>
  <si>
    <t>दो वृत्तों की त्रिज्याएँ क्रमशः 8 cm और 6 cm हैं। उस वृत्त की त्रिज्या क्या होगी जिसका क्षेत्रफल इन दोनों वृत्तों के क्षेत्रफलों के योग के बराबर है?</t>
  </si>
  <si>
    <t>एक घड़ी की मिनट की सुई 14 cm लंबी है। 5 मिनट में रचित क्षेत्रफल होगा:</t>
  </si>
  <si>
    <t>154/3 cm²</t>
  </si>
  <si>
    <t>44/3 cm²</t>
  </si>
  <si>
    <t>22/3 cm²</t>
  </si>
  <si>
    <t>त्रिज्या 21 cm वाले वृत्त का एक चाप केंद्र पर 60° का कोण अंतरित करता है। चाप की लंबाई है:</t>
  </si>
  <si>
    <t>11 cm</t>
  </si>
  <si>
    <t>त्रिज्या 21 cm वाले वृत्त के उस त्रिज्यखंड का क्षेत्रफल क्या होगा जिसका केंद्रीय कोण 60° है?</t>
  </si>
  <si>
    <t>132 cm²</t>
  </si>
  <si>
    <t>462 cm²</t>
  </si>
  <si>
    <t>Option A,</t>
  </si>
  <si>
    <t>एक वृत्त के चतुर्थांश (quadrant) का क्षेत्रफल ज्ञात करें जिसकी परिधि 22 cm है:</t>
  </si>
  <si>
    <t>भुजा 4 cm वाले एक वर्ग के प्रत्येक कोने से 1 cm त्रिज्या वाले वृत्त का एक चतुर्थांश काटा गया है। वर्ग के शेष भाग का क्षेत्रफल है:</t>
  </si>
  <si>
    <t>68/7 cm²</t>
  </si>
  <si>
    <t>12 cm²</t>
  </si>
  <si>
    <t>9 cm²</t>
  </si>
  <si>
    <t>13 cm²</t>
  </si>
  <si>
    <t>यदि एक वृत्त का परिमाप और क्षेत्रफल संख्यात्मक रूप से बराबर है, तो उस वृत्त का व्यास है:</t>
  </si>
  <si>
    <t>त्रिज्या R वाले वृत्त के उस त्रिज्यखंड का क्षेत्रफल जिसका कोण P° है:</t>
  </si>
  <si>
    <t>(P/180) × 2πR</t>
  </si>
  <si>
    <t>(P/180) × πR²</t>
  </si>
  <si>
    <t>(P/360) × 2πR</t>
  </si>
  <si>
    <t>(P/720) × 2πR²</t>
  </si>
  <si>
    <t>एक छतरी में 8 ताने हैं जो बराबर दूरी पर हैं। छतरी को 45 cm त्रिज्या वाला एक सपाट वृत्त मानते हुए, दो क्रमागत तानों के बीच का क्षेत्रफल होगा:</t>
  </si>
  <si>
    <t>22275/28 cm²</t>
  </si>
  <si>
    <t>22275/56 cm²</t>
  </si>
  <si>
    <t>22275/14 cm²</t>
  </si>
  <si>
    <t>किसी कार के प्रत्येक पहिए का व्यास 80 cm है। यदि कार 66 km/h की चाल से चल रही है, तो 10 मिनट में प्रत्येक पहिया कितने चक्कर लगाता है?</t>
  </si>
  <si>
    <t>एक घोड़ा 15 m भुजा वाले वर्गाकार घास के मैदान के एक कोने पर 5 m लंबी रस्सी से बंधा है। घोड़ा कितने क्षेत्रफल में घास चर सकता है? (π = 3.14)</t>
  </si>
  <si>
    <t>19.625 m²</t>
  </si>
  <si>
    <t>20.25 m²</t>
  </si>
  <si>
    <t>78.5 m²</t>
  </si>
  <si>
    <t>15.5 m²</t>
  </si>
  <si>
    <t>यदि वृत्त की त्रिज्या तीन गुनी कर दी जाए, तो नए और पुराने वृत्तों के परिधियों का अनुपात होगा:</t>
  </si>
  <si>
    <t>1 : 3</t>
  </si>
  <si>
    <t>3 : 1</t>
  </si>
  <si>
    <t>1 : 9</t>
  </si>
  <si>
    <t>9 : 1</t>
  </si>
  <si>
    <t>Option B,</t>
  </si>
  <si>
    <t>यदि किसी वृत्त की त्रिज्या k गुनी कर दी जाए, तो उसके क्षेत्रफल में कितनी वृद्धि होगी (कितना गुना हो जाएगा)?</t>
  </si>
  <si>
    <t>k गुना</t>
  </si>
  <si>
    <t>k² गुना</t>
  </si>
  <si>
    <t>2k गुना</t>
  </si>
  <si>
    <t>k/2 गुना</t>
  </si>
  <si>
    <t>एक वृत्ताकार वलय (Ring) की बाहरी त्रिज्या R और भीतरी त्रिज्या r है, तो वलय का क्षेत्रफल होगा:</t>
  </si>
  <si>
    <t>π(R - r)²</t>
  </si>
  <si>
    <t>2π(R - r)</t>
  </si>
  <si>
    <t>यदि वृत्त का व्यास d है, तो उसका क्षेत्रफल होगा:</t>
  </si>
  <si>
    <t>πd²</t>
  </si>
  <si>
    <t>πd²/2</t>
  </si>
  <si>
    <t>πd²/4</t>
  </si>
  <si>
    <t>2πd</t>
  </si>
  <si>
    <t>अर्धवृत्त का परिमाप (त्रिज्या r के साथ) का सूत्र है:</t>
  </si>
  <si>
    <t>πr</t>
  </si>
  <si>
    <t>πr + 2r</t>
  </si>
  <si>
    <t>2πr</t>
  </si>
  <si>
    <t>2πr + r</t>
  </si>
  <si>
    <t>7 cm त्रिज्या वाले वृत्त के लघु वृत्तखंड का क्षेत्रफल ज्ञात करें यदि केंद्र पर कोण 90° है:</t>
  </si>
  <si>
    <t>14 cm²</t>
  </si>
  <si>
    <t>28 cm²</t>
  </si>
  <si>
    <t>38.5 cm²</t>
  </si>
  <si>
    <t>10.5 cm²</t>
  </si>
  <si>
    <t>एक वृत्त की परिधि 22 cm है। उसके चतुर्थांश का क्षेत्रफल होगा:</t>
  </si>
  <si>
    <t>9.625 cm²</t>
  </si>
  <si>
    <t>12.5 cm²</t>
  </si>
  <si>
    <t>15.2 cm²</t>
  </si>
  <si>
    <t>7.5 cm²</t>
  </si>
  <si>
    <t>12 cm त्रिज्या वाले एक वृत्त की कोई जीवा केंद्र पर 120° का कोण अंतरित करती है। संगत वृत्तखंड का क्षेत्रफल है (π=3.14, √3=1.73):</t>
  </si>
  <si>
    <t>88.44 cm²</t>
  </si>
  <si>
    <t>50.72 cm²</t>
  </si>
  <si>
    <t>150.72 cm²</t>
  </si>
  <si>
    <t>62.28 cm²</t>
  </si>
  <si>
    <t>एक वृत्ताकार ब्रोच (brooch) को चांदी के तार से बनाया जाना है जिसका व्यास 35 mm है। तार को वृत्त के 5 व्यासों को बनाने में भी प्रयुक्त किया गया है। कुल वांछित चांदी के तार की लंबाई है:</t>
  </si>
  <si>
    <t>285 mm</t>
  </si>
  <si>
    <t>110 mm</t>
  </si>
  <si>
    <t>175 mm</t>
  </si>
  <si>
    <t>385 mm</t>
  </si>
  <si>
    <t>त्रिज्या 4 cm वाले एक वृत्त के त्रिज्यखंड का क्षेत्रफल ज्ञात कीजिए, जिसका कोण 30° है। (π = 3.14)</t>
  </si>
  <si>
    <t>4.19 cm²</t>
  </si>
  <si>
    <t>8.38 cm²</t>
  </si>
  <si>
    <t>12.56 cm²</t>
  </si>
  <si>
    <t>2.09 cm²</t>
  </si>
  <si>
    <t>21 cm त्रिज्या वाले वृत्त का एक चाप केंद्र पर 60° का कोण अंतरित करता है। संगत जीवा द्वारा बनाए गए वृत्तखंड का क्षेत्रफल है:</t>
  </si>
  <si>
    <t>(231 - 441√3/4) cm²</t>
  </si>
  <si>
    <t>441√3/4 cm²</t>
  </si>
  <si>
    <t>एक घड़ी की मिनट की सुई की लंबाई 14 cm है। 1 मिनट में मिनट की सुई द्वारा रचित क्षेत्रफल कितना होगा?</t>
  </si>
  <si>
    <t>10.26 cm²</t>
  </si>
  <si>
    <t>1.026 cm²</t>
  </si>
  <si>
    <t>20.52 cm²</t>
  </si>
  <si>
    <t>5.13 cm²</t>
  </si>
  <si>
    <t>एक कार के दो वाइपर हैं, जो परस्पर कभी आच्छादित नहीं होते हैं। प्रत्येक वाइपर की पत्ती की लंबाई 25 cm है और 115° के कोण तक घूम कर सफाई कर सकता है। पत्तियों की प्रत्येक बुहार के साथ साफ होने वाला कुल क्षेत्रफल है:</t>
  </si>
  <si>
    <t>158125/252 cm²</t>
  </si>
  <si>
    <t>158125/126 cm²</t>
  </si>
  <si>
    <t>1254/7 cm²</t>
  </si>
  <si>
    <t>जहाजों को समुद्र में जलस्तर के नीचे स्थित चट्टानों की चेतावनी देने के लिए, एक लाइट हाउस 80° कोण वाले एक त्रिज्यखंड में 16.5 km की दूरी तक लाल रंग का प्रकाश फैलाता है। समुद्र के उस भाग का क्षेत्रफल है: (π = 3.14)</t>
  </si>
  <si>
    <t>189.97 km²</t>
  </si>
  <si>
    <t>170.5 km²</t>
  </si>
  <si>
    <t>150.72 km²</t>
  </si>
  <si>
    <t>195.5 km²</t>
  </si>
  <si>
    <t>यदि किसी वृत्त की त्रिज्या 14 cm है, तो वृत्त का परिधि होगा:</t>
  </si>
  <si>
    <t>यदि वृत्त का क्षेत्रफल 154 cm² है, तो वृत्त की त्रिज्या ज्ञात करें:</t>
  </si>
  <si>
    <t>अर्धवृत्त का परिमाप 72 cm है, तो इसकी त्रिज्या होगी:</t>
  </si>
  <si>
    <t>एक पहिए का व्यास 40 cm है। 176 m की दूरी तय करने में इसे कितने चक्कर लगाने पड़ेंगे?</t>
  </si>
  <si>
    <t>यदि वृत्त का परिधि 10π cm है, तो इसका क्षेत्रफल होगा:</t>
  </si>
  <si>
    <t>यदि किसी वृत्त का परिधि 4π से बढ़ाकर 8π कर दिया जाए, तो उसका क्षेत्रफल कितना गुना हो जाएगा?</t>
  </si>
  <si>
    <t>3 गुना</t>
  </si>
  <si>
    <t>4 गुना</t>
  </si>
  <si>
    <t>8 गुना</t>
  </si>
  <si>
    <t>यदि एक वृत्त का परिधि 132 cm है, तो इसकी त्रिज्या है:</t>
  </si>
  <si>
    <t>r त्रिज्या वाले अर्धवृत्त के अंतर्गत खींचे जा सकने वाले सबसे बड़े त्रिभुज का क्षेत्रफल है:</t>
  </si>
  <si>
    <t>r²</t>
  </si>
  <si>
    <t>½ r²</t>
  </si>
  <si>
    <t>2r²</t>
  </si>
  <si>
    <t>√2r²</t>
  </si>
  <si>
    <t>यदि एक वृत्त का क्षेत्रफल 64π cm² है, तो इसका व्यास है:</t>
  </si>
  <si>
    <t>32 cm</t>
  </si>
  <si>
    <t>7 cm त्रिज्या वाले वृत्त के एक त्रिज्यखंड का क्षेत्रफल ज्ञात कीजिए जिसका केंद्रीय कोण 90° है:</t>
  </si>
  <si>
    <t>77 cm²</t>
  </si>
  <si>
    <t>19.25 cm²</t>
  </si>
  <si>
    <t>एक वृत्त की परिधि और त्रिज्या का अंतर 37 cm है। वृत्त का क्षेत्रफल है:</t>
  </si>
  <si>
    <t>111 cm²</t>
  </si>
  <si>
    <t>148 cm²</t>
  </si>
  <si>
    <t>259 cm²</t>
  </si>
  <si>
    <t>दी गई आकृति में, एक चतुर्थांश OPBQ के अंतर्गत एक वर्ग OABC बना हुआ है। यदि OA = 20 cm है, तो छायांकित भाग का क्षेत्रफल है (π = 3.14):</t>
  </si>
  <si>
    <t>228 cm²</t>
  </si>
  <si>
    <t>314 cm²</t>
  </si>
  <si>
    <t>400 cm²</t>
  </si>
  <si>
    <t>56 m भुजा वाले एक वर्गाकार लॉन के दो ओर बनी हुई दो वृत्ताकार फूलों की क्यारियाँ हैं। यदि प्रत्येक वृत्ताकार क्यारी का केंद्र लॉन के विकर्णों का प्रतिच्छेद बिंदु हो, तो वर्गाकार लॉन तथा फूलों की क्यारियों का कुल क्षेत्रफल है:</t>
  </si>
  <si>
    <t>4032 m²</t>
  </si>
  <si>
    <t>3136 m²</t>
  </si>
  <si>
    <t>2016 m²</t>
  </si>
  <si>
    <t>1008 m²</t>
  </si>
  <si>
    <t>आकृति में छायांकित भाग का क्षेत्रफल ज्ञात कीजिए, जहाँ ABCD भुजा 14 cm का एक वर्ग है और APD तथा BPC अर्धवृत्त हैं:</t>
  </si>
  <si>
    <t>42 cm²</t>
  </si>
  <si>
    <t>21 cm²</t>
  </si>
  <si>
    <t>196 cm²</t>
  </si>
  <si>
    <t>त्रिज्या 8 cm वाले वृत्त के अंतर्गत खींचे जा सकने वाले वर्ग का क्षेत्रफल है:</t>
  </si>
  <si>
    <t>256 cm²</t>
  </si>
  <si>
    <t>32 cm²</t>
  </si>
  <si>
    <t>यदि दो वृत्तों के क्षेत्रफलों का अनुपात 25:64 है, तो उनकी परिधियों का अनुपात होगा:</t>
  </si>
  <si>
    <t>एक वृत्त के चतुर्थांश का कोण होता है:</t>
  </si>
  <si>
    <t>दीर्घ त्रिज्यखंड का क्षेत्रफल निकालने का सूत्र है (यदि लघु त्रिज्यखंड का कोण θ है):</t>
  </si>
  <si>
    <t>(360-θ)/360 × πr²</t>
  </si>
  <si>
    <t>θ/360 × πr²</t>
  </si>
  <si>
    <t>(360-θ)/180 × πr²</t>
  </si>
  <si>
    <t>πr² - θ/180 × πr²</t>
  </si>
  <si>
    <t>10 cm त्रिज्या वाले वृत्त की एक जीवा केंद्र पर समकोण अंतरित करती है। लघु वृत्तखंड का क्षेत्रफल है (π=3.14):</t>
  </si>
  <si>
    <t>28.5 cm²</t>
  </si>
  <si>
    <t>78.5 cm²</t>
  </si>
  <si>
    <t>50 cm²</t>
  </si>
  <si>
    <t>31.4 cm²</t>
  </si>
  <si>
    <t>एक वृत्ताकार खेत पर 24 रुपये प्रति मीटर की दर से बाड़ लगाने का कुल खर्च 5280 रुपये है। खेत की त्रिज्या है:</t>
  </si>
  <si>
    <t>35 m</t>
  </si>
  <si>
    <t>22 m</t>
  </si>
  <si>
    <t>70 m</t>
  </si>
  <si>
    <t>35 m त्रिज्या वाले वृत्ताकार खेत को 0.50 रुपये प्रति m² की दर से जोतने का खर्च होगा:</t>
  </si>
  <si>
    <t>1925 रुपये</t>
  </si>
  <si>
    <t>3850 रुपये</t>
  </si>
  <si>
    <t>962.5 रुपये</t>
  </si>
  <si>
    <t>7700 रुपये</t>
  </si>
  <si>
    <t>एक दौड़ने का मार्ग (Racing Track) वलयाकार है जिसकी अन्तः परिधि 440 m और बाहरी परिधि 506 m है। मार्ग की चौड़ाई है:</t>
  </si>
  <si>
    <t>10.5 m</t>
  </si>
  <si>
    <t>7 m</t>
  </si>
  <si>
    <t>यदि किसी वृत्त की त्रिज्या a गुनी कर दी जाए, तो उसके परिमाप का अनुपात (नया:पुराना) होगा:</t>
  </si>
  <si>
    <t>a:1</t>
  </si>
  <si>
    <t>1:a</t>
  </si>
  <si>
    <t>a²:1</t>
  </si>
  <si>
    <t>1:a²</t>
  </si>
  <si>
    <t>5 चक्कर में 14 cm त्रिज्या वाले पहिए द्वारा तय की गई दूरी है:</t>
  </si>
  <si>
    <t>220 cm</t>
  </si>
  <si>
    <t>1320 cm</t>
  </si>
  <si>
    <t>यदि d वृत्त का व्यास हो, तो उसका क्षेत्रफल होगा:</t>
  </si>
  <si>
    <t>πd</t>
  </si>
  <si>
    <t>दो वृत्तों की परिधियों का अनुपात a:b है, तो उनके क्षेत्रफलों का अनुपात होगा:</t>
  </si>
  <si>
    <t>a:b</t>
  </si>
  <si>
    <t>a²:b²</t>
  </si>
  <si>
    <t>√a:√b</t>
  </si>
  <si>
    <t>b:a</t>
  </si>
  <si>
    <t>यदि वृत्त का क्षेत्रफल A, परिधि C और व्यास d है, तो A का मान d और C के पदों में क्या होगा?</t>
  </si>
  <si>
    <t>Cd/4</t>
  </si>
  <si>
    <t>Cd/2</t>
  </si>
  <si>
    <t>C²d</t>
  </si>
  <si>
    <t>Cd</t>
  </si>
  <si>
    <t>किसी वृत्त के केंद्र पर बना कोण होता है:</t>
  </si>
  <si>
    <t>42 cm व्यास वाले वृत्त का क्षेत्रफल है:</t>
  </si>
  <si>
    <t>1386 cm²</t>
  </si>
  <si>
    <t>1286 cm²</t>
  </si>
  <si>
    <t>1486 cm²</t>
  </si>
  <si>
    <t>1186 cm²</t>
  </si>
  <si>
    <t>यदि वृत्त की परिधि 44 cm है, तो वृत्त के चतुर्थांश का क्षेत्रफल है:</t>
  </si>
  <si>
    <t>एक वृत्त का क्षेत्रफल 38.5 cm² है, तो इसकी त्रिज्या है:</t>
  </si>
  <si>
    <t>10.5 cm</t>
  </si>
  <si>
    <t>यदि अर्धवृत्त का व्यास 14 cm है, तो उसका परिमाप होगा:</t>
  </si>
  <si>
    <t>58 cm</t>
  </si>
  <si>
    <t>निम्न में से कौन वलय (Ring) के क्षेत्रफल का सूत्र है (R &gt; r):</t>
  </si>
  <si>
    <t>कोण p (डिग्री में) वाले त्रिज्यखंड का क्षेत्रफल है:</t>
  </si>
  <si>
    <t>(p/360) × πR²</t>
  </si>
  <si>
    <t>28 cm त्रिज्या वाले वृत्त के उस चाप की लंबाई क्या होगी जो केंद्र पर 45° का कोण बनाता है?</t>
  </si>
  <si>
    <t>यदि एक अर्धवृत्त का परिमाप 36 cm है, तो उसका व्यास है:</t>
  </si>
  <si>
    <t>एक पहिया 10 मिनट में 500 चक्कर लगाता है। यदि पहिए का व्यास 80 cm है, तो कार की चाल है:</t>
  </si>
  <si>
    <t>7.54 km/h</t>
  </si>
  <si>
    <t>75.4 km/h</t>
  </si>
  <si>
    <t>754 km/h</t>
  </si>
  <si>
    <t>0.75 km/h</t>
  </si>
  <si>
    <t>किसी वृत्त के बाह्य बिंदु से कितनी स्पर्श रेखाएँ खींची जा सकती हैं?</t>
  </si>
  <si>
    <t>दो सकेंद्री वृत्तों की त्रिज्याएँ 14 cm और 7 cm हैं। इनके बीच के वलयाकार भाग का क्षेत्रफल होगा:</t>
  </si>
  <si>
    <t>616 cm²</t>
  </si>
  <si>
    <t>308 cm²</t>
  </si>
  <si>
    <t>यदि एक वृत्त की परिधि 88 cm है, तो उसका क्षेत्रफल होगा:</t>
  </si>
  <si>
    <t>1232 cm²</t>
  </si>
  <si>
    <t>एक वर्ग की भुजा 10 cm है। इसके अंतर्गत खींचे गए वृत्त का क्षेत्रफल है:</t>
  </si>
  <si>
    <t>100π cm²</t>
  </si>
  <si>
    <t>एक वर्ग की भुजा 10 cm है। इसके परिवृत्त (circumcircle) का क्षेत्रफल है:</t>
  </si>
  <si>
    <t>220 m परिधि वाले वृत्ताकार पार्क में ₹5 प्रति m² की दर से घास लगाने का खर्च होगा:</t>
  </si>
  <si>
    <t>₹ 19250</t>
  </si>
  <si>
    <t>₹ 3850</t>
  </si>
  <si>
    <t>₹ 9625</t>
  </si>
  <si>
    <t>₹ 7700</t>
  </si>
  <si>
    <t>यदि किसी वृत्त की त्रिज्या 10% बढ़ा दी जाए, तो उसके क्षेत्रफल में कितने प्रतिशत की वृद्धि होगी?</t>
  </si>
  <si>
    <t>दो वृत्तों की त्रिज्याओं का योग 10 cm है और उनकी परिधियों का अंतर 8.8 cm है। त्रिज्याएँ होंगी:</t>
  </si>
  <si>
    <t>5.7 cm, 4.3 cm</t>
  </si>
  <si>
    <t>6 cm, 4 cm</t>
  </si>
  <si>
    <t>7 cm, 3 cm</t>
  </si>
  <si>
    <t>5.5 cm, 4.5 cm</t>
  </si>
  <si>
    <t>छायांकित भाग का क्षेत्रफल ज्ञात करें यदि दो सकेंद्री वृत्तों की त्रिज्याएँ 7 cm और 14 cm हैं और त्रिज्यखंड का कोण 40° है:</t>
  </si>
  <si>
    <t>308/3 cm²</t>
  </si>
  <si>
    <t>51.33 cm²</t>
  </si>
  <si>
    <t>102.66 cm²</t>
  </si>
  <si>
    <t>आकृति में, छायांकित भाग का क्षेत्रफल क्या है यदि वर्ग की भुजा 14 cm है और प्रत्येक कोने पर 4 वृत खींचे गए हैं जो एक-दूसरे को स्पर्श करते हैं?</t>
  </si>
  <si>
    <t>एक समबाहु त्रिभुज का क्षेत्रफल 17320.5 cm² है। इसके प्रत्येक शीर्ष को केंद्र मानकर त्रिभुज की भुजा की आधी लंबाई की त्रिज्या लेकर वृत्त खींचा गया है। त्रिभुज के उस भाग का क्षेत्रफल जो वृत्तों में शामिल नहीं है: (π=3.14, √3=1.73205)</t>
  </si>
  <si>
    <t>1620.5 cm²</t>
  </si>
  <si>
    <t>17320.5 cm²</t>
  </si>
  <si>
    <t>15700 cm²</t>
  </si>
  <si>
    <t>31400 cm²</t>
  </si>
  <si>
    <t>3 cm, 4 cm और 5 cm त्रिज्या वाले तीन वृत्तों के केंद्रों को मिलाकर एक त्रिभुज बनाया गया है। त्रिभुज का क्षेत्रफल है:</t>
  </si>
  <si>
    <t>6 cm²</t>
  </si>
  <si>
    <t>24 cm²</t>
  </si>
  <si>
    <t>30 cm²</t>
  </si>
  <si>
    <t>यदि एक पहिया 1.1 km की दूरी तय करने में 560 चक्कर लगाता है, तो पहिए की त्रिज्या है:</t>
  </si>
  <si>
    <t>31.25 cm</t>
  </si>
  <si>
    <t>62.5 cm</t>
  </si>
  <si>
    <t>15.6 cm</t>
  </si>
  <si>
    <t>25 cm</t>
  </si>
  <si>
    <t>त्रिज्या r वाले वृत्त में θ कोण वाले त्रिज्यखंड के चाप की लंबाई और उसी त्रिज्या वाले वृत्त की परिधि का अनुपात है:</t>
  </si>
  <si>
    <t>θ : 360</t>
  </si>
  <si>
    <t>360 : θ</t>
  </si>
  <si>
    <t>θ : 180</t>
  </si>
  <si>
    <t>180 : θ</t>
  </si>
  <si>
    <t>यदि किसी वृत्त का क्षेत्रफल A और परिधि C है, तो निम्न में से कौन सा सत्य है?</t>
  </si>
  <si>
    <t>2A = Cr</t>
  </si>
  <si>
    <t>A = Cr</t>
  </si>
  <si>
    <t>2C = Ar</t>
  </si>
  <si>
    <t>C = 2Ar</t>
  </si>
  <si>
    <t>एक वृत्ताकार पथ की बाहरी और भीतरी परिधियों का अनुपात 23:22 है। यदि पथ 5 m चौड़ा है, तो आंतरिक वृत्त का व्यास है:</t>
  </si>
  <si>
    <t>220 m</t>
  </si>
  <si>
    <t>230 m</t>
  </si>
  <si>
    <t>110 m</t>
  </si>
  <si>
    <t>55 m</t>
  </si>
  <si>
    <t>एक साइकिल का पहिया 11 km चलने में 5000 चक्कर लगाता है। पहिए का व्यास है:</t>
  </si>
  <si>
    <t>70 cm</t>
  </si>
  <si>
    <t>140 cm</t>
  </si>
  <si>
    <t>एक वृत्त के चतुर्थांश का परिमाप होगा (त्रिज्या r):</t>
  </si>
  <si>
    <t>r(π/2 + 2)</t>
  </si>
  <si>
    <t>r(π + 2)</t>
  </si>
  <si>
    <t>πr/2</t>
  </si>
  <si>
    <t>14 cm भुजा वाले वर्ग के अंदर अधिकतम आकार का वृत्त खींचा गया है। वृत्त और वर्ग के बीच का शेष क्षेत्रफल है:</t>
  </si>
  <si>
    <t>यदि किसी वृत्त की त्रिज्या 20% कम कर दी जाए, तो क्षेत्रफल में कितने प्रतिशत की कमी होगी?</t>
  </si>
  <si>
    <t>दो वृत्तों की परिधियों का योग उस वृत्त की परिधि के बराबर है जिसका व्यास 28 cm और 42 cm व्यास वाले दो वृत्तों के योग के बराबर है। नए वृत्त की त्रिज्या है:</t>
  </si>
  <si>
    <t>यदि वृत्त का क्षेत्रफल 100π cm² है, तो उसकी परिधि है:</t>
  </si>
  <si>
    <t>20π cm</t>
  </si>
  <si>
    <t>10π cm</t>
  </si>
  <si>
    <t>50π cm</t>
  </si>
  <si>
    <t>40π cm</t>
  </si>
  <si>
    <t>एक अर्धवृत्ताकार खिड़की का व्यास 63 cm है। इसका परिमाप होगा:</t>
  </si>
  <si>
    <t>162 cm</t>
  </si>
  <si>
    <t>126 cm</t>
  </si>
  <si>
    <t>99 cm</t>
  </si>
  <si>
    <t>198 cm</t>
  </si>
  <si>
    <t>एक वृत्त की परिधि उसकी त्रिज्या से 37 cm अधिक है। वृत्त का व्यास है:</t>
  </si>
  <si>
    <t>12 cm भुजा वाले समबाहु त्रिभुज के अंतर्गत खींचे गए वृत्त का क्षेत्रफल है:</t>
  </si>
  <si>
    <t>12π cm²</t>
  </si>
  <si>
    <t>24π cm²</t>
  </si>
  <si>
    <t>36π cm²</t>
  </si>
  <si>
    <t>48π cm²</t>
  </si>
  <si>
    <t>एक तार को वर्ग के आकार में मोड़ने पर वह 484 cm² का क्षेत्रफल घेरता है। यदि उसी तार को वृत्त के आकार में मोड़ा जाए, तो क्षेत्रफल होगा:</t>
  </si>
  <si>
    <t>516 cm²</t>
  </si>
  <si>
    <t>484 cm²</t>
  </si>
  <si>
    <t>यदि एक वृत्त की त्रिज्या 1 cm है, तो वृत्त का क्षेत्रफल होगा:</t>
  </si>
  <si>
    <t>π cm²</t>
  </si>
  <si>
    <t>2π cm²</t>
  </si>
  <si>
    <t>1 cm²</t>
  </si>
  <si>
    <t>2 cm²</t>
  </si>
  <si>
    <t>एक वृत्त का क्षेत्रफल 2464 cm² है। वृत्त का व्यास है:</t>
  </si>
  <si>
    <t>56 cm</t>
  </si>
  <si>
    <t>112 cm</t>
  </si>
  <si>
    <t>यदि दो वृत्तों के क्षेत्रफलों का अनुपात 9:4 है, तो उनकी परिधियों का अनुपात होगा:</t>
  </si>
  <si>
    <t>एक वृत्त के त्रिज्यखंड का परिमाप क्या है यदि त्रिज्या 5.2 cm और त्रिज्यखंड का कोण 60° है? (चाप की लंबाई + 2r):</t>
  </si>
  <si>
    <t>15.84 cm</t>
  </si>
  <si>
    <t>5.44 cm</t>
  </si>
  <si>
    <t>10.88 cm</t>
  </si>
  <si>
    <t>16.4 cm</t>
  </si>
  <si>
    <t>घड़ी की घंटे की सुई 6 cm लंबी है। 90 मिनट में सुई द्वारा रचित क्षेत्रफल है:</t>
  </si>
  <si>
    <t>14.13 cm²</t>
  </si>
  <si>
    <t>28.26 cm²</t>
  </si>
  <si>
    <t>7.06 cm²</t>
  </si>
  <si>
    <t>56.52 cm²</t>
  </si>
  <si>
    <t>एक वृत्त का क्षेत्रफल और परिधि का मान समान है (इकाई का ध्यान न रखते हुए)। वृत्त की त्रिज्या है:</t>
  </si>
  <si>
    <t>1 इकाई</t>
  </si>
  <si>
    <t>7 इकाई</t>
  </si>
  <si>
    <t>200 चक्करों में एक पहिया 440 m की दूरी तय करता है। पहिए का व्यास है:</t>
  </si>
  <si>
    <t>100 cm</t>
  </si>
  <si>
    <t>यदि किसी त्रिज्यखंड का कोण 180° है, तो वह कहलाता है:</t>
  </si>
  <si>
    <t>अर्धवृत्त</t>
  </si>
  <si>
    <t>दीर्घ त्रिज्यखंड</t>
  </si>
  <si>
    <t>वृत्तखंड</t>
  </si>
  <si>
    <t>किसी वृत्त की सबसे बड़ी जीवा 10 cm है, तो वृत्त की त्रिज्या होगी:</t>
  </si>
  <si>
    <t>5 cm</t>
  </si>
  <si>
    <t>2.5 cm</t>
  </si>
  <si>
    <t>वृत्त के केंद्र पर बना कोण किस अनुपात में चाप की लंबाई को विभाजित करता है?</t>
  </si>
  <si>
    <t>व्युत्क्रमानुपाती</t>
  </si>
  <si>
    <t>वर्गानुपाती</t>
  </si>
  <si>
    <t>पृष्ठीय क्षेत्रफल और आयतन</t>
  </si>
  <si>
    <t>एक लम्ब वृत्तीय शंकु का आयतन क्या होता है यदि त्रिज्या r और ऊँचाई h हो?</t>
  </si>
  <si>
    <t>1/3 πr²h</t>
  </si>
  <si>
    <t>πr²h</t>
  </si>
  <si>
    <t>2πrh</t>
  </si>
  <si>
    <t>2/3 πr³</t>
  </si>
  <si>
    <t>यदि दो घनों, जिनमें से प्रत्येक का आयतन 64 cm³ है, के संलग्न फलकों को मिलाकर एक ठोस बनाया जाता है, तो घनाभ का पृष्ठीय क्षेत्रफल क्या होगा?</t>
  </si>
  <si>
    <t>140 cm²</t>
  </si>
  <si>
    <t>160 cm²</t>
  </si>
  <si>
    <t>180 cm²</t>
  </si>
  <si>
    <t>150 cm²</t>
  </si>
  <si>
    <t>एक गोले का पृष्ठीय क्षेत्रफल क्या होता है?</t>
  </si>
  <si>
    <t>2πr²</t>
  </si>
  <si>
    <t>3πr²</t>
  </si>
  <si>
    <t>4πr²</t>
  </si>
  <si>
    <t>4/3 πr³</t>
  </si>
  <si>
    <t>एक बाल्टी (शंकु का छिन्नक) की तिर्यक ऊँचाई (l) का सूत्र क्या है?</t>
  </si>
  <si>
    <t>√(h² + (R-r)²)</t>
  </si>
  <si>
    <t>√(h² + (R+r)²)</t>
  </si>
  <si>
    <t>√(h² - (R-r)²)</t>
  </si>
  <si>
    <t>√(R² + h²)</t>
  </si>
  <si>
    <t>r त्रिज्या वाले अर्धगोले का कुल पृष्ठीय क्षेत्रफल क्या होता है?</t>
  </si>
  <si>
    <t>πr²</t>
  </si>
  <si>
    <t>एक खोखले बेलन (hollow cylinder) का आयतन क्या होगा यदि बाहरी त्रिज्या R, आंतरिक त्रिज्या r और ऊँचाई h हो?</t>
  </si>
  <si>
    <t>πh(R² + r²)</t>
  </si>
  <si>
    <t>πh(R² - r²)</t>
  </si>
  <si>
    <t>2πh(R - r)</t>
  </si>
  <si>
    <t>πh(R - r)²</t>
  </si>
  <si>
    <t>यदि एक शंकु के छिन्नक की ऊँचाई h, और सिरों की त्रिज्याएँ r1 और r2 हों, तो उसका आयतन क्या होगा?</t>
  </si>
  <si>
    <t>1/3 πh (r1² + r2² + r1r2)</t>
  </si>
  <si>
    <t>1/3 πh (r1² + r2²)</t>
  </si>
  <si>
    <t>πh (r1² + r2² + r1r2)</t>
  </si>
  <si>
    <t>1/3 πh (r1 + r2)²</t>
  </si>
  <si>
    <t>एक घनाभ का पृष्ठीय क्षेत्रफल क्या होता है?</t>
  </si>
  <si>
    <t>lb + bh + hl</t>
  </si>
  <si>
    <t>2(lb + bh + hl)</t>
  </si>
  <si>
    <t>2(l + b)h</t>
  </si>
  <si>
    <t>l × b × h</t>
  </si>
  <si>
    <t>7 cm त्रिज्या वाले एक गोले का पृष्ठीय क्षेत्रफल ज्ञात कीजिए।</t>
  </si>
  <si>
    <t>600 cm²</t>
  </si>
  <si>
    <t>एक गिलास का आकार आमतौर पर किस रूप में होता है?</t>
  </si>
  <si>
    <t>शंकु</t>
  </si>
  <si>
    <t>बेलन</t>
  </si>
  <si>
    <t>शंकु का छिन्नक</t>
  </si>
  <si>
    <t>गोला</t>
  </si>
  <si>
    <t>एक बेलन और एक गोले की त्रिज्या और ऊँचाई (व्यास) समान होने पर, आर्किमिडीज के अनुसार गोले का आयतन बेलन के आयतन का कितना भाग होता है?</t>
  </si>
  <si>
    <t>यदि एक शंकु की ऊँचाई 16 cm और आधार की त्रिज्या 12 cm है, तो उसकी तिर्यक ऊँचाई क्या होगी?</t>
  </si>
  <si>
    <t>एक ठोस अर्धगोले का वक्र पृष्ठीय क्षेत्रफल क्या होता है?</t>
  </si>
  <si>
    <t>एक बेलन का वक्र पृष्ठीय क्षेत्रफल का सूत्र क्या है?</t>
  </si>
  <si>
    <t>2πr(r+h)</t>
  </si>
  <si>
    <t>πrl</t>
  </si>
  <si>
    <t>10.5 cm त्रिज्या वाले एक गोले का आयतन निकालने के लिए कौन सा सूत्र प्रयोग होगा?</t>
  </si>
  <si>
    <t>एक खिलौना जो शंकु के आकार का है और उसी त्रिज्या वाले अर्धगोले पर अध्यारोपित है, उसका कुल पृष्ठीय क्षेत्रफल क्या होगा?</t>
  </si>
  <si>
    <t>अर्धगोले का CSA + शंकु का CSA</t>
  </si>
  <si>
    <t>अर्धगोले का आयतन + शंकु का आयतन</t>
  </si>
  <si>
    <t>शंकु का CSA - अर्धगोले का CSA</t>
  </si>
  <si>
    <t>केवल शंकु का CSA</t>
  </si>
  <si>
    <t>शंकु की तिर्यक ऊँचाई (l), ऊँचाई (h) और त्रिज्या (r) में क्या संबंध है?</t>
  </si>
  <si>
    <t>l² = r² - h²</t>
  </si>
  <si>
    <t>l² = h² + r²</t>
  </si>
  <si>
    <t>l = h + r</t>
  </si>
  <si>
    <t>h² = l² + r²</t>
  </si>
  <si>
    <t>यदि घन का किनारा 'a' है, तो घन का कुल पृष्ठीय क्षेत्रफल क्या होगा?</t>
  </si>
  <si>
    <t>4a²</t>
  </si>
  <si>
    <t>6a²</t>
  </si>
  <si>
    <t>a³</t>
  </si>
  <si>
    <t>2a²</t>
  </si>
  <si>
    <t>14 cm व्यास वाले गोले का पृष्ठीय क्षेत्रफल क्या होगा?</t>
  </si>
  <si>
    <t>4312 cm²</t>
  </si>
  <si>
    <t>एक बेलन के आधार की परिधि 132 cm और ऊँचाई 25 cm है, तो उसका आयतन ज्ञात करने के लिए त्रिज्या क्या होगी?</t>
  </si>
  <si>
    <t>मॉडल बनाने वाली मिट्टी से 24 cm ऊँचा और 6 cm आधार त्रिज्या वाला शंकु बनाया गया। इसे गोले में बदल दिया गया। गोले की त्रिज्या क्या होगी?</t>
  </si>
  <si>
    <t>3 cm</t>
  </si>
  <si>
    <t>दो गोलों के आयतनों का अनुपात 8:27 है, तो उनकी त्रिज्याओं का अनुपात क्या होगा?</t>
  </si>
  <si>
    <t>यदि किसी लम्ब वृत्तीय बेलन की त्रिज्या r और ऊँचाई h हो, तो उसका सम्पूर्ण पृष्ठीय क्षेत्रफल क्या होगा?</t>
  </si>
  <si>
    <t>2πr(r + h)</t>
  </si>
  <si>
    <t>एक शंकु के छिन्नक का वक्र पृष्ठीय क्षेत्रफल क्या होता है?</t>
  </si>
  <si>
    <t>π(r1 + r2)l</t>
  </si>
  <si>
    <t>π(r1 - r2)l</t>
  </si>
  <si>
    <t>π(r1² + r2²)</t>
  </si>
  <si>
    <t>2π(r1 + r2)h</t>
  </si>
  <si>
    <t>5 रुपये प्रति 100 cm² की दर से एक अर्धगोलाकार गुंबद (व्यास 17.6 m नहीं, परिधि 17.6m) को पेंट कराने का व्यय निकालने के लिए पहले क्या ज्ञात करना होगा?</t>
  </si>
  <si>
    <t>आयतन</t>
  </si>
  <si>
    <t>ऊँचाई</t>
  </si>
  <si>
    <t>एक माचिस की डिब्बी (घनाभ) का आयतन क्या होगा यदि माप 4cm × 2.5cm × 1.5cm है?</t>
  </si>
  <si>
    <t>10 cm³</t>
  </si>
  <si>
    <t>15 cm³</t>
  </si>
  <si>
    <t>20 cm³</t>
  </si>
  <si>
    <t>12 cm³</t>
  </si>
  <si>
    <t>यदि एक बेलन का पार्श्व पृष्ठीय क्षेत्रफल 94.2 cm² है और ऊँचाई 5 cm है, तो त्रिज्या क्या होगी (π=3.14)?</t>
  </si>
  <si>
    <t>2 cm</t>
  </si>
  <si>
    <t>एक शंकु के छिन्नक के दोनों वृत्ताकार सिरों के क्षेत्रफल और वक्र पृष्ठ को जोड़ने पर क्या प्राप्त होता है?</t>
  </si>
  <si>
    <t>संपूर्ण पृष्ठीय क्षेत्रफल</t>
  </si>
  <si>
    <t>पार्श्व पृष्ठीय क्षेत्रफल</t>
  </si>
  <si>
    <t>आधार का क्षेत्रफल</t>
  </si>
  <si>
    <t>एक गोलाकार गुब्बारे में हवा भरने पर त्रिज्या 7 cm से 14 cm हो जाती है। दोनों स्थितियों में पृष्ठीय क्षेत्रफलों का अनुपात क्या होगा?</t>
  </si>
  <si>
    <t>एक शंकु की ऊँचाई 15 cm है और आयतन 1570 cm³ है, तो त्रिज्या क्या होगी (π=3.14)?</t>
  </si>
  <si>
    <t>व्यास 1 cm वाली 8 cm लंबी ताँबे की छड़ को पिघलाकर 18 m लंबा तार बनाया गया। यह किस अवधारणा का उदाहरण है?</t>
  </si>
  <si>
    <t>पृष्ठीय क्षेत्रफल रूपांतरण</t>
  </si>
  <si>
    <t>आयतन का संरक्षण</t>
  </si>
  <si>
    <t>घनत्व परिवर्तन</t>
  </si>
  <si>
    <t>आर्किमिडीज ने किस आकृति के आयतन और क्षेत्रफल के संबंधों की खोज की थी?</t>
  </si>
  <si>
    <t>गोला और बेलन</t>
  </si>
  <si>
    <t>घन और घनाभ</t>
  </si>
  <si>
    <t>शंकु और गोला</t>
  </si>
  <si>
    <t>पिरामिड और प्रिज्म</t>
  </si>
  <si>
    <t>एक ठोस का एक आकार से दूसरे आकार में बदलने पर क्या अपरिवर्तित रहता है?</t>
  </si>
  <si>
    <t>पृष्ठीय क्षेत्रफल</t>
  </si>
  <si>
    <t>घनत्व</t>
  </si>
  <si>
    <t>वक्र पृष्ठ</t>
  </si>
  <si>
    <t>पानी पीने वाला एक गिलास 14 cm ऊँचाई वाले शंकु के छिन्नक के आकार का है। दोनों वृत्ताकार सिरों के व्यास 4 cm और 2 cm हैं। गिलास की धारिता (Volume) का सूत्र क्या लगेगा?</t>
  </si>
  <si>
    <t>1/3 πh(r1² + r2² + r1r2)</t>
  </si>
  <si>
    <t>π(r1+r2)l</t>
  </si>
  <si>
    <t>10 m गहरे एक बेलनाकार बर्तन की आंतरिक वक्र पृष्ठ को पेंट कराने का व्यय 2200 रुपये है (दर 20 रुपये/m²)। तो आंतरिक वक्र पृष्ठीय क्षेत्रफल क्या है?</t>
  </si>
  <si>
    <t>110 m²</t>
  </si>
  <si>
    <t>220 m²</t>
  </si>
  <si>
    <t>440 m²</t>
  </si>
  <si>
    <t>100 m²</t>
  </si>
  <si>
    <t>किसी लम्ब वृत्तीय शंकु का कुल पृष्ठीय क्षेत्रफल का सूत्र क्या है?</t>
  </si>
  <si>
    <t>πr(l + r)</t>
  </si>
  <si>
    <t>2πr(l + r)</t>
  </si>
  <si>
    <t>21 cm त्रिज्या वाले अर्धगोले का आयतन क्या होगा?</t>
  </si>
  <si>
    <t>19404 cm³</t>
  </si>
  <si>
    <t>38808 cm³</t>
  </si>
  <si>
    <t>4851 cm³</t>
  </si>
  <si>
    <t>9702 cm³</t>
  </si>
  <si>
    <t>एक घनाकार टंकी की धारिता 50000 लीटर है। यदि लंबाई 2.5 m और गहराई 10 m है, तो चौड़ाई क्या होगी? (1 m³ = 1000 लीटर)</t>
  </si>
  <si>
    <t>1 m</t>
  </si>
  <si>
    <t>1.5 cm व्यास और 0.2 cm मोटाई वाले सिक्कों को पिघलाकर एक बेलन बनाने के लिए सिक्कों की संख्या निकालने के लिए क्या समान होना चाहिए?</t>
  </si>
  <si>
    <t>कुल सिक्कों का आयतन = बेलन का आयतन</t>
  </si>
  <si>
    <t>कुल क्षेत्रफल = बेलन का क्षेत्रफल</t>
  </si>
  <si>
    <t>परिधि = बेलन की परिधि</t>
  </si>
  <si>
    <t>व्यास = बेलन की ऊँचाई</t>
  </si>
  <si>
    <t>यदि एक गोले की त्रिज्या को दुगुना कर दिया जाए, तो उसका आयतन कितना गुना हो जाएगा?</t>
  </si>
  <si>
    <t>16 गुना</t>
  </si>
  <si>
    <t>एक अर्धगोले का कुल पृष्ठीय क्षेत्रफल 3πr² होता है, इसमें '3' कहाँ से आता है?</t>
  </si>
  <si>
    <t>वक्र पृष्ठ (2πr²) + आधार (πr²)</t>
  </si>
  <si>
    <t>4πr² - πr²</t>
  </si>
  <si>
    <t>3 × आधार क्षेत्रफल</t>
  </si>
  <si>
    <t>सूत्र का स्थिरांक</t>
  </si>
  <si>
    <t>एक शंकु के छिन्नक का आयतन ज्ञात करने के लिए हमें किन तीन राशियों की आवश्यकता होती है?</t>
  </si>
  <si>
    <t>h, l, r1</t>
  </si>
  <si>
    <t>h, r1, r2</t>
  </si>
  <si>
    <t>l, r1, r2</t>
  </si>
  <si>
    <t>h, l, r2</t>
  </si>
  <si>
    <t>यदि r1 &gt; r2, तो शंकु के छिन्नक की तिर्यक ऊँचाई (l) का सूत्र क्या होगा?</t>
  </si>
  <si>
    <t>l = √(h² + (r1-r2)²)</t>
  </si>
  <si>
    <t>l = √(h² - (r1-r2)²)</t>
  </si>
  <si>
    <t>l = √(h² + r1² + r2²)</t>
  </si>
  <si>
    <t>l = h + r1 - r2</t>
  </si>
  <si>
    <t>एक 5 mm व्यास वाला कैप्सूल (गोलाकार गोली) भरने के लिए कितनी दवाई की आवश्यकता होगी, यह ज्ञात करने के लिए क्या निकालना होगा?</t>
  </si>
  <si>
    <t>7 cm भुजा वाले घनाकार ब्लॉक के ऊपर एक अर्धगोला रखा है। अर्धगोले का अधिकतम व्यास क्या हो सकता है?</t>
  </si>
  <si>
    <t>एक बेलनाकार पेंसिल (ग्रेफाइट सहित) का आयतन निकालने के लिए हमें क्या करना होगा?</t>
  </si>
  <si>
    <t>केवल लकड़ी का आयतन</t>
  </si>
  <si>
    <t>लकड़ी का आयतन + ग्रेफाइट का आयतन</t>
  </si>
  <si>
    <t>बेलन का वक्र पृष्ठ</t>
  </si>
  <si>
    <t>केवल ग्रेफाइट का आयतन</t>
  </si>
  <si>
    <t>यदि एक बाल्टी के दोनों सिरों की त्रिज्याएँ 28 cm और 7 cm हैं और ऊँचाई 45 cm है, तो उसकी धारिता (Volume) होगी:</t>
  </si>
  <si>
    <t>48510 cm³</t>
  </si>
  <si>
    <t>48000 cm³</t>
  </si>
  <si>
    <t>50000 cm³</t>
  </si>
  <si>
    <t>45000 cm³</t>
  </si>
  <si>
    <t>एक लम्ब वृत्तीय बेलन, त्रिज्या r वाले एक गोले को पूर्णतया घेरे हुए है। बेलन की ऊँचाई क्या होगी?</t>
  </si>
  <si>
    <t>r</t>
  </si>
  <si>
    <t>2r</t>
  </si>
  <si>
    <t>3r</t>
  </si>
  <si>
    <t>4r</t>
  </si>
  <si>
    <t>एक शंकु के आधार के समानांतर तल द्वारा काटने पर प्राप्त निचले भाग को क्या कहते हैं?</t>
  </si>
  <si>
    <t>छोटा शंकु</t>
  </si>
  <si>
    <t>शंकु का छिन्नक (Frustum)</t>
  </si>
  <si>
    <t>घनाभ का पार्श्व पृष्ठीय क्षेत्रफल (Lateral Surface Area) क्या है?</t>
  </si>
  <si>
    <t>2(lb + bh)</t>
  </si>
  <si>
    <t>lbh</t>
  </si>
  <si>
    <t>2(bh + hl)</t>
  </si>
  <si>
    <t>एक शंकु के छिन्नक (Frustum) का आयतन क्या होता है?</t>
  </si>
  <si>
    <t>1/3 πh(r₁² + r₂²)</t>
  </si>
  <si>
    <t>1/3 πh(r₁² + r₂² + r₁r₂)</t>
  </si>
  <si>
    <t>πh(r₁² + r₂² + r₁r₂)</t>
  </si>
  <si>
    <t>यदि किसी घन के विकर्ण की लंबाई 6√3 cm है, तो उसका किनारा (side) क्या होगा?</t>
  </si>
  <si>
    <t>9 cm</t>
  </si>
  <si>
    <t>एक बेलन और शंकु के आधार की त्रिज्याएँ 3:4 के अनुपात में हैं और उनकी ऊँचाइयाँ 2:3 के अनुपात में हैं, तो उनके आयतनों का अनुपात क्या होगा?</t>
  </si>
  <si>
    <t>9:8</t>
  </si>
  <si>
    <t>यदि दो गोलों के पृष्ठीय क्षेत्रफलों का अनुपात 4:25 है, तो उनकी त्रिज्याओं का अनुपात क्या होगा?</t>
  </si>
  <si>
    <t>2:5</t>
  </si>
  <si>
    <t>1:5</t>
  </si>
  <si>
    <t>समान आधार और समान ऊँचाई वाले बेलन, शंकु और अर्धगोले के आयतनों का अनुपात क्या है?</t>
  </si>
  <si>
    <t>एक खोखले बेलन की बाहरी त्रिज्या R, आंतरिक त्रिज्या r और ऊँचाई h है। इसका कुल पृष्ठीय क्षेत्रफल क्या होगा?</t>
  </si>
  <si>
    <t>2π(R+r)(h+R-r)</t>
  </si>
  <si>
    <t>2π(R+r)h</t>
  </si>
  <si>
    <t>2π(R²-r²)</t>
  </si>
  <si>
    <t>2πh(R²+r²)</t>
  </si>
  <si>
    <t>यदि किसी गोले की त्रिज्या 3 गुनी कर दी जाए, तो उसका आयतन कितना गुना हो जाएगा?</t>
  </si>
  <si>
    <t>9 गुना</t>
  </si>
  <si>
    <t>27 गुना</t>
  </si>
  <si>
    <t>6 गुना</t>
  </si>
  <si>
    <t>एक बाल्टी के दोनों वृत्ताकार सिरों की त्रिज्याएँ 20 cm और 10 cm हैं और ऊँचाई 30 cm है। इसकी तिर्यक ऊँचाई (l) क्या होगी?</t>
  </si>
  <si>
    <t>√1000</t>
  </si>
  <si>
    <t>√1100</t>
  </si>
  <si>
    <t>√900</t>
  </si>
  <si>
    <t>√800</t>
  </si>
  <si>
    <t>एक 8 cm भुजा वाले घन में से सबसे बड़ा गोला काटा जाता है। उस गोले का आयतन क्या होगा?</t>
  </si>
  <si>
    <t>4/3 π(4)³</t>
  </si>
  <si>
    <t>4/3 π(8)³</t>
  </si>
  <si>
    <t>4/3 π(2)³</t>
  </si>
  <si>
    <t>π(4)²</t>
  </si>
  <si>
    <t>यदि एक बेलन का व्यास 28 cm और ऊँचाई 20 cm है, तो उसका वक्र पृष्ठीय क्षेत्रफल क्या होगा?</t>
  </si>
  <si>
    <t>1760 cm²</t>
  </si>
  <si>
    <t>1540 cm²</t>
  </si>
  <si>
    <t>880 cm²</t>
  </si>
  <si>
    <t>2200 cm²</t>
  </si>
  <si>
    <t>एक शंकु के छिन्नक की तिर्यक ऊँचाई (l) का सूत्र क्या है, यदि त्रिज्याएँ r₁ और r₂ (r₁ &gt; r₂) हैं?</t>
  </si>
  <si>
    <t>√(h² + (r₁ + r₂)²)</t>
  </si>
  <si>
    <t>√(h² - (r₁ - r₂)²)</t>
  </si>
  <si>
    <t>√(h² + (r₁ - r₂)²)</t>
  </si>
  <si>
    <t>√(h² + r₁² + r₂²)</t>
  </si>
  <si>
    <t>14 cm भुजा वाले घन का पृष्ठीय क्षेत्रफल क्या होगा?</t>
  </si>
  <si>
    <t>1176 cm²</t>
  </si>
  <si>
    <t>1344 cm²</t>
  </si>
  <si>
    <t>2744 cm²</t>
  </si>
  <si>
    <t>1 cm त्रिज्या वाले कितनी गोलियाँ 8 cm त्रिज्या वाले एक गोले को पिघलाकर बनाई जा सकती हैं?</t>
  </si>
  <si>
    <t>एक अर्धगोलाकार कटोरे की मोटाई को नगण्य मानते हुए, यदि व्यास 14 cm है, तो उसकी धारिता (Volume) क्या होगी?</t>
  </si>
  <si>
    <t>718.67 cm³</t>
  </si>
  <si>
    <t>1437.33 cm³</t>
  </si>
  <si>
    <t>616 cm³</t>
  </si>
  <si>
    <t>308 cm³</t>
  </si>
  <si>
    <t>यदि किसी शंकु की ऊँचाई और त्रिज्या दोनों को दोगुना कर दिया जाए, तो आयतन कितना गुना हो जाएगा?</t>
  </si>
  <si>
    <t>एक घनाभ की विमाएँ 5cm × 10cm × 20cm हैं। इसका कुल पृष्ठीय क्षेत्रफल क्या है?</t>
  </si>
  <si>
    <t>1000 cm²</t>
  </si>
  <si>
    <t>700 cm²</t>
  </si>
  <si>
    <t>350 cm²</t>
  </si>
  <si>
    <t>800 cm²</t>
  </si>
  <si>
    <t>एक शंकु के आधार का क्षेत्रफल 154 cm² है और ऊँचाई 12 cm है। इसका आयतन क्या होगा?</t>
  </si>
  <si>
    <t>1848 cm³</t>
  </si>
  <si>
    <t>462 cm³</t>
  </si>
  <si>
    <t>एक बेलनाकार पाइप का धातु आयतन निकालने के लिए कौन सा सूत्र उपयुक्त है (R=बाहरी त्रिज्या, r=आंतरिक त्रिज्या)?</t>
  </si>
  <si>
    <t>πh(R - r)</t>
  </si>
  <si>
    <t>2πh(R + r)</t>
  </si>
  <si>
    <t>πhR²</t>
  </si>
  <si>
    <t>एक कमरे की लंबाई, चौड़ाई और ऊँचाई क्रमशः 12m, 4m, और 3m है। इसमें रखी जा सकने वाली सबसे लंबी छड़ की लंबाई क्या है?</t>
  </si>
  <si>
    <t>17 m</t>
  </si>
  <si>
    <t>किसी लंब वृत्तीय शंकु का सम्पूर्ण पृष्ठीय क्षेत्रफल ज्ञात करने का सूत्र क्या है?</t>
  </si>
  <si>
    <t>यदि दो घनों के आयतनों का अनुपात 1:27 है, तो उनके पृष्ठीय क्षेत्रफलों का अनुपात क्या होगा?</t>
  </si>
  <si>
    <t>1:9</t>
  </si>
  <si>
    <t>1:6</t>
  </si>
  <si>
    <t>7 cm त्रिज्या वाले अर्धगोले का कुल पृष्ठीय क्षेत्रफल क्या है?</t>
  </si>
  <si>
    <t>147π</t>
  </si>
  <si>
    <t>98π</t>
  </si>
  <si>
    <t>49π</t>
  </si>
  <si>
    <t>196π</t>
  </si>
  <si>
    <t>एक तार को पिघलाकर जिसकी त्रिज्या r है, उसे लंबाई में खींचकर त्रिज्या r/2 कर दी जाती है। तार की नई लंबाई कितनी होगी?</t>
  </si>
  <si>
    <t>2 गुनी</t>
  </si>
  <si>
    <t>4 गुनी</t>
  </si>
  <si>
    <t>8 गुनी</t>
  </si>
  <si>
    <t>समान रहेगी</t>
  </si>
  <si>
    <t>π(r₁ + r₂)l</t>
  </si>
  <si>
    <t>π(r₁ - r₂)l</t>
  </si>
  <si>
    <t>2π(r₁ + r₂)h</t>
  </si>
  <si>
    <t>πl(r₁² + r₂²)</t>
  </si>
  <si>
    <t>21 cm व्यास वाले गोले का आयतन ज्ञात कीजिए।</t>
  </si>
  <si>
    <t>2425.5 cm³</t>
  </si>
  <si>
    <t>यदि बेलन की ऊँचाई को 4 गुना कर दिया जाए और आधार की त्रिज्या को आधा कर दिया जाए, तो आयतन क्या होगा?</t>
  </si>
  <si>
    <t>अपरिवर्तित</t>
  </si>
  <si>
    <t>एक खिलौना लट्टू (top) किस संयोजन का उदाहरण है?</t>
  </si>
  <si>
    <t>शंकु + बेलन</t>
  </si>
  <si>
    <t>शंकु + अर्धगोला</t>
  </si>
  <si>
    <t>बेलन + अर्धगोला</t>
  </si>
  <si>
    <t>गोला + शंकु</t>
  </si>
  <si>
    <t>यदि किसी बेलन का वक्र पृष्ठ 264 m² है और आयतन 924 m³ है, तो उसका व्यास क्या है?</t>
  </si>
  <si>
    <t>28 m</t>
  </si>
  <si>
    <t>एक घनाभ का आयतन क्या होगा यदि आधार का क्षेत्रफल A और ऊँचाई h है?</t>
  </si>
  <si>
    <t>A × h</t>
  </si>
  <si>
    <t>1/3 A × h</t>
  </si>
  <si>
    <t>2A × h</t>
  </si>
  <si>
    <t>A/h</t>
  </si>
  <si>
    <t>दो शंकुओं की ऊँचाइयाँ 1:3 के अनुपात में हैं और त्रिज्याएँ 3:1 के अनुपात में हैं। उनके आयतनों का अनुपात क्या है?</t>
  </si>
  <si>
    <t>एक 6 cm त्रिज्या वाले धातु के गोले को पिघलाकर 2 cm त्रिज्या वाले छोटे गोले बनाए जाते हैं। गोलों की संख्या क्या होगी?</t>
  </si>
  <si>
    <t>एक शंकु की ऊँचाई 24 cm और आधार की त्रिज्या 7 cm है। इसके वक्र पृष्ठ को रंगने का खर्च 10 रुपये/cm² की दर से क्या होगा?</t>
  </si>
  <si>
    <t>5500 रुपये</t>
  </si>
  <si>
    <t>5280 रुपये</t>
  </si>
  <si>
    <t>2500 रुपये</t>
  </si>
  <si>
    <t>7000 रुपये</t>
  </si>
  <si>
    <t>एक बेलनाकार बर्तन पानी से पूरा भरा है। उसमें उसी त्रिज्या का एक ठोस गोला डाला जाता है। कितना पानी बाहर निकलेगा?</t>
  </si>
  <si>
    <t>गोले के आयतन के बराबर</t>
  </si>
  <si>
    <t>बेलन के आयतन के बराबर</t>
  </si>
  <si>
    <t>गोले के पृष्ठ क्षेत्रफल के बराबर</t>
  </si>
  <si>
    <t>बेलन के आधे आयतन के बराबर</t>
  </si>
  <si>
    <t>एक छिन्नक के आधारों का परिमाप 18 cm और 6 cm है। यदि तिर्यक ऊँचाई 4 cm है, तो वक्र पृष्ठीय क्षेत्रफल क्या है?</t>
  </si>
  <si>
    <t>48 cm²</t>
  </si>
  <si>
    <t>96 cm²</t>
  </si>
  <si>
    <t>72 cm²</t>
  </si>
  <si>
    <t>यदि घन का प्रत्येक किनारा 50% बढ़ा दिया जाए, तो पृष्ठीय क्षेत्रफल में कितने प्रतिशत वृद्धि होगी?</t>
  </si>
  <si>
    <t>दवा का एक कैप्सूल आमतौर पर किस आकार का होता है?</t>
  </si>
  <si>
    <t>बेलन + 2 अर्धगोले</t>
  </si>
  <si>
    <t>बेलन + 2 शंकु</t>
  </si>
  <si>
    <t>केवल बेलन</t>
  </si>
  <si>
    <t>गोला + बेलन</t>
  </si>
  <si>
    <t>एक लंब वृत्तीय बेलन के आधार की परिधि 44 cm और ऊँचाई 10 cm है। बेलन का आयतन क्या है?</t>
  </si>
  <si>
    <t>1540 cm³</t>
  </si>
  <si>
    <t>3080 cm³</t>
  </si>
  <si>
    <t>770 cm³</t>
  </si>
  <si>
    <t>2200 cm³</t>
  </si>
  <si>
    <t>समान ऊँचाई के दो बेलनों के आयतनों का अनुपात 4:9 है, तो उनके वक्र पृष्ठों का अनुपात क्या होगा?</t>
  </si>
  <si>
    <t>10.5 cm त्रिज्या वाले एक शंकु का आयतन क्या है यदि ऊँचाई 12 cm है?</t>
  </si>
  <si>
    <t>1386 cm³</t>
  </si>
  <si>
    <t>693 cm³</t>
  </si>
  <si>
    <t>2772 cm³</t>
  </si>
  <si>
    <t>4158 cm³</t>
  </si>
  <si>
    <t>एक खोखले गोले का आयतन (बाहरी त्रिज्या R, आंतरिक त्रिज्या r) क्या होता है?</t>
  </si>
  <si>
    <t>4/3 π(R³ - r³)</t>
  </si>
  <si>
    <t>4/3 π(R³ + r³)</t>
  </si>
  <si>
    <t>π(R³ - r³)</t>
  </si>
  <si>
    <t>4π(R² - r²)</t>
  </si>
  <si>
    <t>6 cm, 8 cm और 10 cm त्रिज्या वाले तीन धातु के गोलों को पिघलाकर एक बड़ा गोला बनाया जाता है। बड़े गोले की त्रिज्या क्या होगी?</t>
  </si>
  <si>
    <t>24 cm</t>
  </si>
  <si>
    <t>एक गिलास का आकार कैसा होता है?</t>
  </si>
  <si>
    <t>यदि एक गोले का पृष्ठीय क्षेत्रफल 154 cm² है, तो उसका व्यास क्या है?</t>
  </si>
  <si>
    <t>एक घनाभ का आयतन 216 cm³ है। यदि इसे 1 cm³ के छोटे घनों में काटा जाए, तो कितने घन प्राप्त होंगे?</t>
  </si>
  <si>
    <t>यदि किसी शंकु की तिर्यक ऊँचाई 13 cm और ऊँचाई 12 cm है, तो आधार की त्रिज्या क्या होगी?</t>
  </si>
  <si>
    <t>एक बेलनाकार पेंसिल को छीलने पर जो भाग छिलकर निकलता है वह मुख्य रूप से किस आकार का होता है?</t>
  </si>
  <si>
    <t>22 cm परिधि वाले वृत्त के चतुर्थांश का क्षेत्रफल क्या होगा (यदि इसे शंकु के आधार के रूप में प्रयोग करें)?</t>
  </si>
  <si>
    <t>दो गोलों के आयतनों का अनुपात 64:27 है। उनके पृष्ठीय क्षेत्रफलों का अनुपात क्या होगा?</t>
  </si>
  <si>
    <t>16:9</t>
  </si>
  <si>
    <t>यदि एक घनाभ की लंबाई, चौड़ाई और ऊँचाई क्रमशः l, b, h हैं, तो विकर्ण की लंबाई क्या होगी?</t>
  </si>
  <si>
    <t>√(l² + b² + h²)</t>
  </si>
  <si>
    <t>l + b + h</t>
  </si>
  <si>
    <t>√(l² + b²)</t>
  </si>
  <si>
    <t>14 cm ऊँचाई वाले बेलन का वक्र पृष्ठीय क्षेत्रफल 88 cm² है। बेलन के आधार का व्यास क्या है?</t>
  </si>
  <si>
    <t>1 cm</t>
  </si>
  <si>
    <t>एक शंकु के छिन्नक की दोनों वृत्ताकार सिरों के क्षेत्रफलों का योग और वक्र पृष्ठ का योग क्या कहलाता है?</t>
  </si>
  <si>
    <t>कुल पृष्ठीय क्षेत्रफल</t>
  </si>
  <si>
    <t>आधार क्षेत्रफल</t>
  </si>
  <si>
    <t>एक 5 cm त्रिज्या और 12 cm ऊँचाई वाले ठोस शंकु को पिघलाकर उसी आधार का बेलन बनाया गया। बेलन की ऊँचाई क्या होगी?</t>
  </si>
  <si>
    <t>10 cm भुजा वाले दो घनों को सटाकर रखने पर प्राप्त घनाभ का पृष्ठीय क्षेत्रफल क्या होगा?</t>
  </si>
  <si>
    <t>1200 cm²</t>
  </si>
  <si>
    <t>2400 cm²</t>
  </si>
  <si>
    <t>एक बेलन की त्रिज्या दोगुनी और ऊँचाई आधी कर दी जाए, तो उसका वक्र पृष्ठीय क्षेत्रफल क्या होगा?</t>
  </si>
  <si>
    <t>समान रहेगा</t>
  </si>
  <si>
    <t>दोगुना होगा</t>
  </si>
  <si>
    <t>आधा होगा</t>
  </si>
  <si>
    <t>चार गुना होगा</t>
  </si>
  <si>
    <t>1.4 cm व्यास वाले कंचे को 7 cm व्यास वाले बीकर में डालने पर पानी का तल कितना ऊपर उठेगा? (संकल्पनात्मक प्रश्न)</t>
  </si>
  <si>
    <t>कंचे के आयतन के बराबर पानी हटेगा</t>
  </si>
  <si>
    <t>बीकर के आयतन के बराबर</t>
  </si>
  <si>
    <t>कोई बदलाव नहीं</t>
  </si>
  <si>
    <t>कंचे के क्षेत्रफल के बराबर</t>
  </si>
  <si>
    <t>एक शंकु के छिन्नक को पूरा करने के लिए ऊपर कौन सी आकृति जोड़ी जाती है?</t>
  </si>
  <si>
    <t>अर्धगोला</t>
  </si>
  <si>
    <t>यदि एक गोले की त्रिज्या 10% बढ़ा दी जाए, तो आयतन में लगभग कितने प्रतिशत वृद्धि होगी?</t>
  </si>
  <si>
    <t>एक पाइप का आंतरिक अनुप्रस्थ काट क्षेत्रफल 100 cm² है और पानी 10 m/s की चाल से बह रहा है। 1 सेकंड में कितना पानी बहेगा?</t>
  </si>
  <si>
    <t>100000 cm³</t>
  </si>
  <si>
    <t>10000 cm³</t>
  </si>
  <si>
    <t>1000 cm³</t>
  </si>
  <si>
    <t>100 cm³</t>
  </si>
  <si>
    <t>एक ठोस अर्धगोले का सम्पूर्ण पृष्ठीय क्षेत्रफल 462 cm² है। इसकी त्रिज्या क्या है?</t>
  </si>
  <si>
    <t>यदि शंकु की ऊँचाई और तिर्यक ऊँचाई दी गई हो, तो आयतन निकालने के लिए पहले क्या ज्ञात करना होगा?</t>
  </si>
  <si>
    <t>क्षेत्रफल</t>
  </si>
  <si>
    <t>एक बेलनाकार टंकी की धारिता 6160 m³ है। यदि आधार की त्रिज्या 14 m है, तो टंकी की गहराई क्या है?</t>
  </si>
  <si>
    <t>एक शंकु के छिन्नक की ऊँचाई 14 cm और सिरों के व्यास 4 cm और 2 cm हैं। इसका आयतन ज्ञात करें।</t>
  </si>
  <si>
    <t>10.27 cm³ (लगभग)</t>
  </si>
  <si>
    <t>22 cm³</t>
  </si>
  <si>
    <t>30 cm³</t>
  </si>
  <si>
    <t>एक खोखले गोले (कोश) को बनाने में लगी धातु का आयतन क्या होता है?</t>
  </si>
  <si>
    <t>बाहरी आयतन - भीतरी आयतन</t>
  </si>
  <si>
    <t>बाहरी क्षेत्रफल - भीतरी क्षेत्रफल</t>
  </si>
  <si>
    <t>बाहरी आयतन + भीतरी आयतन</t>
  </si>
  <si>
    <t>भीतरी आयतन</t>
  </si>
  <si>
    <t>7 cm त्रिज्या और 2 cm ऊँचाई वाली कितनी चकतियों (discs) को पिघलाकर 14 cm त्रिज्या और 8 cm ऊँचाई वाला बेलन बनाया जा सकता है?</t>
  </si>
  <si>
    <t>एक बाल्टी (छिन्नक) की धारिता लीटर में निकालने के लिए आयतन (cm³) को किससे भाग देना होगा?</t>
  </si>
  <si>
    <t>एक लंब वृत्तीय बेलन का वक्र पृष्ठ 1/3 है उसके कुल पृष्ठ का। तो ऊँचाई और त्रिज्या का अनुपात क्या होगा? (h : r)</t>
  </si>
  <si>
    <t>एक घन का आयतन 1728 cm³ है। इसका किनारा क्या है?</t>
  </si>
  <si>
    <t>13 cm</t>
  </si>
  <si>
    <t>यदि एक शंकु के आधार की त्रिज्या को आधा और ऊँचाई को दोगुना कर दिया जाए, तो आयतन पर क्या प्रभाव पड़ेगा?</t>
  </si>
  <si>
    <t>आयतन आधा हो जाएगा</t>
  </si>
  <si>
    <t>आयतन दोगुना हो जाएगा</t>
  </si>
  <si>
    <t>आयतन समान रहेगा</t>
  </si>
  <si>
    <t>आयतन एक चौथाई हो जाएगा</t>
  </si>
  <si>
    <t>एक अर्धगोले के ऊपर रखे शंकु का कुल आयतन क्या होगा?</t>
  </si>
  <si>
    <t>1/3 πr²h + 2/3 πr³</t>
  </si>
  <si>
    <t>1/3 πr²h + 4/3 πr³</t>
  </si>
  <si>
    <t>πr²h + 2/3 πr³</t>
  </si>
  <si>
    <t>1/3 πr²(h+r)</t>
  </si>
  <si>
    <t>एक बेलनाकार छड़ को पिघलाकर तार बनाने में कौन सी राशि अपरिवर्तित रहती है?</t>
  </si>
  <si>
    <t>लंबाई</t>
  </si>
  <si>
    <t>9 cm त्रिज्या वाले एक ठोस गोले को पिघलाकर 9 cm त्रिज्या वाला बेलन बनाया जाता है। बेलन की ऊँचाई क्या होगी?</t>
  </si>
  <si>
    <t>यदि एक छिन्नक की तिर्यक ऊँचाई 5 cm है और सिरों की त्रिज्याओं का अंतर 3 cm है, तो ऊँचाई (h) क्या होगी?</t>
  </si>
  <si>
    <t>एक माचिस की डिब्बी की विमाएँ 4cm × 2.5cm × 1.5cm हैं। ऐसी 12 डिब्बियों के पैकेट का आयतन क्या होगा?</t>
  </si>
  <si>
    <t>180 cm³</t>
  </si>
  <si>
    <t>150 cm³</t>
  </si>
  <si>
    <t>120 cm³</t>
  </si>
  <si>
    <t>200 cm³</t>
  </si>
  <si>
    <t>एक शंकु के आधार की परिधि 24π है और ऊँचाई 5 है। इसका वक्र पृष्ठ क्या होगा (यदि l = 13 हो)?</t>
  </si>
  <si>
    <t>156π</t>
  </si>
  <si>
    <t>65π</t>
  </si>
  <si>
    <t>60π</t>
  </si>
  <si>
    <t>120π</t>
  </si>
  <si>
    <t>एक गोले के व्यास में 25% की कमी करने पर उसके वक्र पृष्ठ में कितने प्रतिशत की कमी होगी?</t>
  </si>
  <si>
    <t>एक घन और एक गोले का पृष्ठीय क्षेत्रफल समान है। उनके आयतनों का अनुपात क्या होगा?</t>
  </si>
  <si>
    <t>√π : √6</t>
  </si>
  <si>
    <t>√6 : √π</t>
  </si>
  <si>
    <t>π : 6</t>
  </si>
  <si>
    <t>एक पानी की टंकी 6 m लंबी, 5 m चौड़ी और 4.5 m गहरी है। इसमें कितने लीटर पानी आएगा?</t>
  </si>
  <si>
    <t>135000 लीटर</t>
  </si>
  <si>
    <t>13500 लीटर</t>
  </si>
  <si>
    <t>135 लीटर</t>
  </si>
  <si>
    <t>1350 लीटर</t>
  </si>
  <si>
    <t>एक शंकु के छिन्नक के दोनों सिरों के व्यास 10 cm और 6 cm हैं। इसकी त्रिज्याएँ क्या होंगी?</t>
  </si>
  <si>
    <t>5 cm, 3 cm</t>
  </si>
  <si>
    <t>10 cm, 6 cm</t>
  </si>
  <si>
    <t>2.5 cm, 1.5 cm</t>
  </si>
  <si>
    <t>20 cm, 12 cm</t>
  </si>
  <si>
    <t>1.5 cm व्यास और 0.2 cm मोटाई वाले कितने सिक्कों को पिघलाकर 10 cm ऊँचाई और 4.5 cm व्यास वाला बेलन बनेगा?</t>
  </si>
  <si>
    <t>यदि एक गोले को काटकर 4 बराबर भागों में बांटा जाए, तो कुल पृष्ठीय क्षेत्रफल में कितनी वृद्धि होगी?</t>
  </si>
  <si>
    <t>एक लम्ब वृत्तीय शंकु का आयतन 9856 cm³ है। यदि व्यास 28 cm है, तो ऊँचाई क्या होगी?</t>
  </si>
  <si>
    <t>48 cm</t>
  </si>
  <si>
    <t>एक नदी 3 m गहरी और 40 m चौड़ी है और 2 km/h की चाल से बह रही है। 1 मिनट में समुद्र में कितना पानी गिरेगा?</t>
  </si>
  <si>
    <t>4000 m³</t>
  </si>
  <si>
    <t>240000 m³</t>
  </si>
  <si>
    <t>400 m³</t>
  </si>
  <si>
    <t>2000 m³</t>
  </si>
  <si>
    <t>एक खिलौना 3.5 cm त्रिज्या वाले अर्धगोले पर अध्यारोपित शंकु के आकार का है। कुल ऊँचाई 15.5 cm है। शंकु की ऊँचाई क्या होगी?</t>
  </si>
  <si>
    <t>15.5 cm</t>
  </si>
  <si>
    <t>5 cm भुजा वाले तीन घनों को एक सीध में रखकर घनाभ बनाया गया। घनाभ का कुल पृष्ठीय क्षेत्रफल क्या होगा?</t>
  </si>
  <si>
    <t>375 cm²</t>
  </si>
  <si>
    <t>450 cm²</t>
  </si>
  <si>
    <t>250 cm²</t>
  </si>
  <si>
    <t>एक बेलन का वक्र पृष्ठ 880 cm² और ऊँचाई 20 cm है। बेलन का आयतन कितना होगा?</t>
  </si>
  <si>
    <t>6160 cm³</t>
  </si>
  <si>
    <t>आर्किमिडीज का सिद्धांत किससे संबंधित है?</t>
  </si>
  <si>
    <t>प्लवन (Buoyancy)</t>
  </si>
  <si>
    <t>गुरुत्वाकर्षण</t>
  </si>
  <si>
    <t>घर्षण</t>
  </si>
  <si>
    <t>प्रकाश</t>
  </si>
  <si>
    <t>एक शंकु के छिन्नक की ऊँचाई h, तिर्यक ऊँचाई l और त्रिज्याओं का अंतर (r1-r2) हो, तो कौन सा संबंध सही है?</t>
  </si>
  <si>
    <t>l² = h² + (r1-r2)²</t>
  </si>
  <si>
    <t>h² = l² + (r1-r2)²</t>
  </si>
  <si>
    <t>l² = h² - (r1-r2)²</t>
  </si>
  <si>
    <t>यदि किसी गोले का आयतन और पृष्ठीय क्षेत्रफल संख्यात्मक रूप से समान हैं, तो त्रिज्या क्या है?</t>
  </si>
  <si>
    <t>3 इकाई</t>
  </si>
  <si>
    <t>एक बेलन के आधार का क्षेत्रफल 154 cm² और ऊँचाई 15 cm है। आयतन क्या होगा?</t>
  </si>
  <si>
    <t>2310 cm³</t>
  </si>
  <si>
    <t>1155 cm³</t>
  </si>
  <si>
    <t>4620 cm³</t>
  </si>
  <si>
    <t>एक 22 cm × 10 cm कागज को मोड़कर 10 cm ऊँचाई वाला बेलन बनाया गया। बेलन की त्रिज्या क्या होगी?</t>
  </si>
  <si>
    <t>एक ठोस गोले को पिघलाकर शंकु बनाया जाता है जिसकी ऊँचाई गोले की त्रिज्या के बराबर है। शंकु की त्रिज्या क्या होगी?</t>
  </si>
  <si>
    <t>एक कमरे के फर्श का परिमाप 250 m है। यदि दीवारों पर पेंट की दर 10 रुपये/m² है और कुल खर्च 15000 रुपये है, तो ऊँचाई क्या है?</t>
  </si>
  <si>
    <t>एक अर्धगोले कटोरे में कितना दूध आएगा यदि व्यास 10.5 cm है?</t>
  </si>
  <si>
    <t>0.303 लीटर (लगभग)</t>
  </si>
  <si>
    <t>1 लीटर</t>
  </si>
  <si>
    <t>0.5 लीटर</t>
  </si>
  <si>
    <t>0.25 लीटर</t>
  </si>
  <si>
    <t>दो बेलनों की त्रिज्याओं का अनुपात 2:3 और ऊँचाइयों का अनुपात 5:3 है। उनके आयतनों का अनुपात क्या होगा?</t>
  </si>
  <si>
    <t>10:9</t>
  </si>
  <si>
    <t>यदि एक शंकु की तिर्यक ऊँचाई 21 m और व्यास 24 m है, तो कुल पृष्ठीय क्षेत्रफल क्या होगा?</t>
  </si>
  <si>
    <t>1244.57 m²</t>
  </si>
  <si>
    <t>1000 m²</t>
  </si>
  <si>
    <t>800 m²</t>
  </si>
  <si>
    <t>1500 m²</t>
  </si>
  <si>
    <t>एक ठोस जिसमें 120 cm ऊँचाई और 60 cm त्रिज्या वाला शंकु, 60 cm त्रिज्या वाले अर्धगोले पर खड़ा है। उसका कुल आयतन क्या है?</t>
  </si>
  <si>
    <t>1.131 m³ (लगभग)</t>
  </si>
  <si>
    <t>2 m³</t>
  </si>
  <si>
    <t>1.5 m³</t>
  </si>
  <si>
    <t>3 m³</t>
  </si>
  <si>
    <t>एक बेलन का आयतन V है। यदि त्रिज्या आधी और ऊँचाई 4 गुनी कर दी जाए, तो नया आयतन क्या होगा?</t>
  </si>
  <si>
    <t>V</t>
  </si>
  <si>
    <t>2V</t>
  </si>
  <si>
    <t>V/2</t>
  </si>
  <si>
    <t>4V</t>
  </si>
  <si>
    <t>एक छिन्नक की तिर्यक ऊँचाई 4 cm है और सिरों के परिमाप 18 cm और 6 cm हैं। इसका वक्र पृष्ठ क्या होगा?</t>
  </si>
  <si>
    <t>50000 लीटर क्षमता वाली घनाभाकार टंकी की लंबाई 2.5 m और गहराई 10 m है। चौड़ाई क्या है?</t>
  </si>
  <si>
    <t>एक गोले के आयतन में कितने πr³ होते हैं?</t>
  </si>
  <si>
    <t>आँकड़े 5, 4, 13, 9, 8, 9, 9, 11, 14 का बहुलक है:</t>
  </si>
  <si>
    <t>3, 5, 2, 5, 7, 5, 8, 5 का बहुलक होगा:</t>
  </si>
  <si>
    <t>किसी वितरण के माध्य, बहुलक और माध्यक के बीच मूल सम्बन्ध है:</t>
  </si>
  <si>
    <t>बहुलक = 3 माध्यक - 2 माध्य</t>
  </si>
  <si>
    <t>बहुलक = 2 माध्यक - 3 माध्य</t>
  </si>
  <si>
    <t>बहुलक = 2 माध्यक + 3 माध्य</t>
  </si>
  <si>
    <t>संचयी बारंबारता वक्र कहलाती है:</t>
  </si>
  <si>
    <t>तोरण</t>
  </si>
  <si>
    <t>आयत चित्र</t>
  </si>
  <si>
    <t>दण्डालेख</t>
  </si>
  <si>
    <t>बारंबारता बहुभुज</t>
  </si>
  <si>
    <t>प्रथम पाँच पूर्ण संख्याओं का माध्य कौन होगा?</t>
  </si>
  <si>
    <t>वर्ग-अंतराल a-b का वर्ग चिह्न होगा:</t>
  </si>
  <si>
    <t>(a+b)/2</t>
  </si>
  <si>
    <t>(a-b)/2</t>
  </si>
  <si>
    <t>a²-b²</t>
  </si>
  <si>
    <t>1, 3, 0, 3, 1, 3 का बहुलक होगा:</t>
  </si>
  <si>
    <t>8, 7, 12, 15, 10, 9, 11 की माध्यिका होगी:</t>
  </si>
  <si>
    <t>प्रथम तीन लगातार प्राकृत संख्याओं का माध्य होगा:</t>
  </si>
  <si>
    <t>तोरण खींचने के लिए वर्ग-अन्तरालों को होना चाहिए:</t>
  </si>
  <si>
    <t>समावेशिक</t>
  </si>
  <si>
    <t>अपवर्जी</t>
  </si>
  <si>
    <t>दोनों (a) तथा (b)</t>
  </si>
  <si>
    <t>यदि 3, 4, 5, 17 तथा x का माध्य 6 हो, तो x का मान है:</t>
  </si>
  <si>
    <t>निम्नलिखित में कौन केन्द्रीय प्रवृत्ति की माप नहीं है?</t>
  </si>
  <si>
    <t>माध्य</t>
  </si>
  <si>
    <t>बहुलक</t>
  </si>
  <si>
    <t>माध्यक</t>
  </si>
  <si>
    <t>मानक विचलन</t>
  </si>
  <si>
    <t>24, 15, 22, 13, 9, 10 तथा 30 का परिसर (Range) होगा:</t>
  </si>
  <si>
    <t>वर्ग अंतराल 130-150 का वर्ग चिन्ह क्या होगा?</t>
  </si>
  <si>
    <t>प्रथम पाँच प्राकृत संख्याओं का माध्य निम्नलिखित में कौन है?</t>
  </si>
  <si>
    <t>5√3</t>
  </si>
  <si>
    <t>प्रेक्षणों 8, 6, 12, 4, 13, 20, 7, 2, 3, 3, 10 में परिसर होगा:</t>
  </si>
  <si>
    <t>यदि किसी बारंबारता सारणी का माध्य 8.9 एवं माध्यिका 9 हो, तो बहुलक होगा:</t>
  </si>
  <si>
    <t>19 और 25 का समांतर माध्य है:</t>
  </si>
  <si>
    <t>किसी बारम्बारता बंटन का बहुलक आलेख द्वारा निम्नलिखित में से किससे निर्धारित किया जा सकता है?</t>
  </si>
  <si>
    <t>बारम्बारता वक्र</t>
  </si>
  <si>
    <t>बारम्बारता बहुभुज</t>
  </si>
  <si>
    <t>चरों को आरोही या अवरोही क्रम में रखने पर बीच वाले चर का मान कहलायेगा:</t>
  </si>
  <si>
    <t>2, 5, 7, 3, 3, 6 का बहुलक होगा:</t>
  </si>
  <si>
    <t>p, q, r का गणितीय माध्य निम्नलिखित में से कौन-सा होगा?</t>
  </si>
  <si>
    <t>p+q+r</t>
  </si>
  <si>
    <t>pqr/3</t>
  </si>
  <si>
    <t>(p+q+r)/3</t>
  </si>
  <si>
    <t>प्रथम n विषम संख्याओं का माध्य है:</t>
  </si>
  <si>
    <t>n</t>
  </si>
  <si>
    <t>n²</t>
  </si>
  <si>
    <t>(n+1)/2</t>
  </si>
  <si>
    <t>5, 3, 7, 6, 4, 2, 1 की माध्यिका है:</t>
  </si>
  <si>
    <t>बहुलक सामान्यतः वह चर मान होता है जिसकी बारंबारता होती है:</t>
  </si>
  <si>
    <t>सबसे कम</t>
  </si>
  <si>
    <t>सर्वाधिक</t>
  </si>
  <si>
    <t>यदि 4, 5, 9, 11 और x का माध्य 7 है, तो x का मान है:</t>
  </si>
  <si>
    <t>सूत्र से बहुलक निकालने के लिए वर्ग अन्तराल कैसी होनी चाहिए?</t>
  </si>
  <si>
    <t>समावेशी</t>
  </si>
  <si>
    <t>अपवर्जी (सतत)</t>
  </si>
  <si>
    <t>6, 4, 3, 6, 4, 3, 4, 6, 5 तथा x का बहुलक हो सकता है:</t>
  </si>
  <si>
    <t>सिर्फ 5</t>
  </si>
  <si>
    <t>4 तथा 6 दोनों</t>
  </si>
  <si>
    <t>3 तथा 6 दोनों</t>
  </si>
  <si>
    <t>3, 4 तथा 6</t>
  </si>
  <si>
    <t>प्रथम n प्राकृत संख्याओं का माध्य है:</t>
  </si>
  <si>
    <t>n(n+1)/2</t>
  </si>
  <si>
    <t>n/2</t>
  </si>
  <si>
    <t>संख्या 1, 2, 3... n का माध्य है:</t>
  </si>
  <si>
    <t>n+1</t>
  </si>
  <si>
    <t>यदि माध्यक का तीन गुना और माध्य का दो गुना का अंतर क्या कहलाता है?</t>
  </si>
  <si>
    <t>वर्गीकृत आंकड़ों का माध्य निकालने की कितनी विधियाँ हैं?</t>
  </si>
  <si>
    <t>से कम' और 'से अधिक' तोरण के कटान बिंदु का भुज (x-अक्ष) क्या देता है?</t>
  </si>
  <si>
    <t>पग विचलन विधि का प्रयोग ज्ञात करने के लिए किया जाता है:</t>
  </si>
  <si>
    <t>परिसर</t>
  </si>
  <si>
    <t>प्रथम 10 सम प्राकृतिक संख्याओं का माध्य है:</t>
  </si>
  <si>
    <t>13 और 19 का माध्य क्या होगा?</t>
  </si>
  <si>
    <t>2, 6, 4, 5, 0, 2, 1, 3, 2 का बहुलक है:</t>
  </si>
  <si>
    <t>यदि चार लगातार विषम संख्याओं का माध्य 6 है, तो सबसे बड़ी संख्या है:</t>
  </si>
  <si>
    <t>3, 4, 7, 2, 7, 6, 7, 9 का बहुलक होगा:</t>
  </si>
  <si>
    <t>आँकड़े 12, 17, 81, 26, 38, 42, 57, 62 का परिसर है:</t>
  </si>
  <si>
    <t>दिए गए आँकड़ों 1, 0, 5 का माध्य है:</t>
  </si>
  <si>
    <t>x, x+3, x+6, x+9 तथा x+12 का समान्तर माध्य है:</t>
  </si>
  <si>
    <t>x+6</t>
  </si>
  <si>
    <t>x+5</t>
  </si>
  <si>
    <t>x+7</t>
  </si>
  <si>
    <t>x+8</t>
  </si>
  <si>
    <t>प्रथम n विषम संख्याओं का योग क्या होता है?</t>
  </si>
  <si>
    <t>वर्ग अंतराल 30-35 का वर्ग चिन्ह क्या होगा?</t>
  </si>
  <si>
    <t>प्रथम पाँच प्राकृत संख्याओं का माध्यक क्या होगा?</t>
  </si>
  <si>
    <t>यदि माध्य = 26.8 और माध्यक = 27.9 हो, तो बहुलक होगा:</t>
  </si>
  <si>
    <t>वर्गीकृत आंकड़ों में 'L' किसे सूचित करता है?</t>
  </si>
  <si>
    <t>वर्ग की उच्च सीमा</t>
  </si>
  <si>
    <t>वर्ग की निम्न सीमा</t>
  </si>
  <si>
    <t>वर्ग अंतराल</t>
  </si>
  <si>
    <t>बारंबारता</t>
  </si>
  <si>
    <t>9, 10, 11, 9, 10, 11, 11, 5, 6, 7, 11, 9 का बहुलक है:</t>
  </si>
  <si>
    <t>5, 4, 13, 9, 8, 9, 9, 11, 14 का बहुलक है:</t>
  </si>
  <si>
    <t>वर्ग अंतरालों 3-7, 7-11, 11-15 के वर्गों की लंबाई (h) क्या है?</t>
  </si>
  <si>
    <t>वर्गीकृत आंकड़ों का माध्य ज्ञात करने की प्रत्यक्ष विधि का सूत्र है:</t>
  </si>
  <si>
    <t>Σf / Σfx</t>
  </si>
  <si>
    <t>Σfx / Σf</t>
  </si>
  <si>
    <t>Σfd / Σf</t>
  </si>
  <si>
    <t>a + Σfu/Σf</t>
  </si>
  <si>
    <t>कल्पित माध्य विधि (Assumed Mean Method) का सूत्र है:</t>
  </si>
  <si>
    <t>a + Σfd/Σf</t>
  </si>
  <si>
    <t>Σfx/Σf</t>
  </si>
  <si>
    <t>a + Σf/Σd</t>
  </si>
  <si>
    <t>वर्ग 10-25 का वर्ग चिन्ह क्या है?</t>
  </si>
  <si>
    <t>पग विचलन विधि में u का मान क्या होता है?</t>
  </si>
  <si>
    <t>(x-a)/h</t>
  </si>
  <si>
    <t>(x+a)/h</t>
  </si>
  <si>
    <t>x-a</t>
  </si>
  <si>
    <t>h(x-a)</t>
  </si>
  <si>
    <t>बहुलक वर्ग की बारंबारता को किससे सूचित करते हैं?</t>
  </si>
  <si>
    <t>f0</t>
  </si>
  <si>
    <t>f1</t>
  </si>
  <si>
    <t>f2</t>
  </si>
  <si>
    <t>l</t>
  </si>
  <si>
    <t>माध्यक वर्ग वह वर्ग है जिसकी संचयी बारंबारता n/2 से ____ होती है।</t>
  </si>
  <si>
    <t>कम</t>
  </si>
  <si>
    <t>ठीक बड़ी (समीप)</t>
  </si>
  <si>
    <t>यदि n = 5 (विषम) है, तो माध्यक कौन सा पद होगा?</t>
  </si>
  <si>
    <t>n/2 वां</t>
  </si>
  <si>
    <t>(n+1)/2 वां</t>
  </si>
  <si>
    <t>n वां</t>
  </si>
  <si>
    <t>(n-1)/2 वां</t>
  </si>
  <si>
    <t>1, 3, 5, 7, 9 का माध्यक क्या होगा?</t>
  </si>
  <si>
    <t>किस केंद्रीय प्रवृत्ति का निर्धारण ग्राफ़ (आलेख) द्वारा नहीं किया जा सकता?</t>
  </si>
  <si>
    <t>आँकड़ों का सबसे बड़ा मान माइनस सबसे छोटा मान क्या कहलाता है?</t>
  </si>
  <si>
    <t>वर्ग चिन्ह</t>
  </si>
  <si>
    <t>केंद्रीय प्रवृत्ति के कितने मापक होते हैं?</t>
  </si>
  <si>
    <t>से कम' तोरण खींचने के लिए वर्ग अंतराल की किस सीमा का उपयोग होता है?</t>
  </si>
  <si>
    <t>निम्न सीमा</t>
  </si>
  <si>
    <t>ऊपरी सीमा</t>
  </si>
  <si>
    <t>से अधिक' तोरण खींचने के लिए वर्ग अंतराल की किस सीमा का उपयोग होता है?</t>
  </si>
  <si>
    <t>वर्गीकृत आंकड़ों का माध्यक निकालने का सूत्र:</t>
  </si>
  <si>
    <t>l + [(n/2 - cf)/f] × h</t>
  </si>
  <si>
    <t>l + [(cf - n/2)/f] × h</t>
  </si>
  <si>
    <t>l + [(f1 - f0)/2f1 - f0 - f2] × h</t>
  </si>
  <si>
    <t>5, 15, 25, 35, 45 का माध्य क्या होगा? (समान अंतर है)</t>
  </si>
  <si>
    <t>3, 4, 0, 3, 4, 5 का बहुलक है:</t>
  </si>
  <si>
    <t>3 और 4 दोनों</t>
  </si>
  <si>
    <t>यदि 6, 8, 9, x, 13 का माध्य 10 है, तो x का मान है:</t>
  </si>
  <si>
    <t>प्रथम 5 विषम संख्याओं का माध्य है:</t>
  </si>
  <si>
    <t>वर्गीकृत आंकड़ों में बहुलक निकालने के लिए वर्ग-अंतराल कैसा होना चाहिए?</t>
  </si>
  <si>
    <t>यदि बहुलक = 16, माध्य = 28, तो माध्यक = ?</t>
  </si>
  <si>
    <t>निम्नलिखित में कौन आलेख द्वारा निर्धारित नहीं किया जा सकता?</t>
  </si>
  <si>
    <t>वर्ग 20-30 की उच्च सीमा है:</t>
  </si>
  <si>
    <t>मिलान चिन्ह (Tally mark)</t>
  </si>
  <si>
    <t>का मान है:</t>
  </si>
  <si>
    <t>बारंबारता बहुभुज (Frequency Polygon) खींचने के लिए x-अक्ष पर क्या लेते हैं?</t>
  </si>
  <si>
    <t>उच्च सीमा</t>
  </si>
  <si>
    <t>यदि चर बढ़ते या घटते क्रम में हों, तो बीच वाला चर कहलाता है:</t>
  </si>
  <si>
    <t>विचलन</t>
  </si>
  <si>
    <t>संचयी बारंबारता सारणी का उपयोग होता है ज्ञात करने में:</t>
  </si>
  <si>
    <t>इनमें से सभी</t>
  </si>
  <si>
    <t>तोरण के आलेखीय निरूपण में, x-अक्ष पर क्या दर्शाया जाता है?</t>
  </si>
  <si>
    <t>वर्ग अंतराल सीमा</t>
  </si>
  <si>
    <t>संचयी बारंबारता</t>
  </si>
  <si>
    <t>माध्यक ज्ञात करने के लिए, हमें बारंबारता बंटन को किसमें बदलना पड़ता है?</t>
  </si>
  <si>
    <t>सापेक्ष बारंबारता</t>
  </si>
  <si>
    <t>जब आंकड़े वर्गीकृत हों, तो माध्य निकालने का सबसे सटीक तरीका कौन सा है (जब गणना कठिन हो)?</t>
  </si>
  <si>
    <t>प्रत्यक्ष विधि</t>
  </si>
  <si>
    <t>कल्पित माध्य विधि</t>
  </si>
  <si>
    <t>पग विचलन विधि</t>
  </si>
  <si>
    <t>से अधिक' प्रकार के तोरण में, हम ऊपरी सीमा या निचली सीमा का उपयोग करते हैं?</t>
  </si>
  <si>
    <t>निचली सीमा</t>
  </si>
  <si>
    <t>वर्ग 0-10, 10-20, 20-30... में वर्ग विस्तार (Class Size) क्या है?</t>
  </si>
  <si>
    <t>बहुलक वर्ग वह वर्ग है जिसकी बारंबारता होती है:</t>
  </si>
  <si>
    <t>न्यूनतम</t>
  </si>
  <si>
    <t>अधिकतम</t>
  </si>
  <si>
    <t>सांख्यिकी में 'Σ' (सिग्मा) संकेत का अर्थ है:</t>
  </si>
  <si>
    <t>घटाव</t>
  </si>
  <si>
    <t>यदि आंकड़ों का माध्य 20 है और प्रत्येक प्रेक्षण में 5 जोड़ दिया जाए, तो नया माध्य होगा:</t>
  </si>
  <si>
    <t>यदि आंकड़ों का माध्य 20 है और प्रत्येक प्रेक्षण में 2 से गुणा कर दिया जाए, तो नया माध्य होगा:</t>
  </si>
  <si>
    <t>माध्य, माध्यिका और बहुलक किसके माप हैं?</t>
  </si>
  <si>
    <t>केंद्रीय प्रवृत्ति</t>
  </si>
  <si>
    <t>विक्षेपण</t>
  </si>
  <si>
    <t>प्रायिकता</t>
  </si>
  <si>
    <t>ज्यामिति</t>
  </si>
  <si>
    <t>वर्ग चिन्ह 15 और 25 वाले वर्गों की वर्ग लंबाई क्या होगी? (25-15=10)</t>
  </si>
  <si>
    <t>प्रथम 3 सम संख्याओं का माध्य क्या है? (2,4,6)</t>
  </si>
  <si>
    <t>यदि 5 प्रेक्षणों का माध्य 10 है, तो उनका योग होगा:</t>
  </si>
  <si>
    <t>बंटन 2, 3, 4, 7, 5, 1 का माध्यक है: (1,2,3,4,5,7 -&gt; (3+4)/2)</t>
  </si>
  <si>
    <t>किस विधि में माध्य की गणना 'a + Σfd/Σf' सूत्र से की जाती है?</t>
  </si>
  <si>
    <t>संचयी बारंबारता वक्र को यह भी कहा जाता है:</t>
  </si>
  <si>
    <t>हिस्टोग्राम</t>
  </si>
  <si>
    <t>बार चार्ट</t>
  </si>
  <si>
    <t>पाई चार्ट</t>
  </si>
  <si>
    <t>10 और 20 का समांतर माध्य है:</t>
  </si>
  <si>
    <t>यदि बहुलक 10 है और माध्य 10 है, तो माध्यिका क्या होगी?</t>
  </si>
  <si>
    <t>वर्ग अंतराल 25-35 का मध्य बिंदु (वर्ग चिन्ह) है:</t>
  </si>
  <si>
    <t>सांख्यिकी का पिता किसे माना जाता है? (General Knowledge context in math)</t>
  </si>
  <si>
    <t>फिशर</t>
  </si>
  <si>
    <t>बारंबारता बंटन में, कुल बारंबारता (N) और अंतिम संचयी बारंबारता का संबंध है:</t>
  </si>
  <si>
    <t>N &gt; अंतिम CF</t>
  </si>
  <si>
    <t>N &lt; अंतिम CF</t>
  </si>
  <si>
    <t>N = अंतिम CF</t>
  </si>
  <si>
    <t>यदि किसी बारंबारता बंटन का माध्यक 50 है, तो 50वां और 51वां पद किस वर्ग में आएगा?</t>
  </si>
  <si>
    <t>माध्यक वर्ग</t>
  </si>
  <si>
    <t>बहुलक वर्ग</t>
  </si>
  <si>
    <t>प्रथम वर्ग</t>
  </si>
  <si>
    <t>अंतिम वर्ग</t>
  </si>
  <si>
    <t>आंकड़े 2, 2, 2, 3, 3, 4, 5, 5, 5, 5, 6, 6 का बहुलक है:</t>
  </si>
  <si>
    <t>माध्यिका ज्ञात करने के लिए संचयी बारंबारता की आवश्यकता होती है:</t>
  </si>
  <si>
    <t>10 प्रेक्षणों का माध्य 15 है। यदि एक प्रेक्षण 15 को हटा दिया जाए, तो नया माध्य क्या होगा?</t>
  </si>
  <si>
    <t>यदि x, 3, 4, 5 का माध्य 4 है, तो x = ?</t>
  </si>
  <si>
    <t>बहुलक का सूत्र l + [(f1-f0)/(2f1-f0-f2)]×h में f1 क्या है?</t>
  </si>
  <si>
    <t>बहुलक वर्ग की बारंबारता</t>
  </si>
  <si>
    <t>पूर्व वर्ग की बारंबारता</t>
  </si>
  <si>
    <t>बाद के वर्ग की बारंबारता</t>
  </si>
  <si>
    <t>पग विचलन विधि से माध्य निकालने के लिए h का मान होना चाहिए:</t>
  </si>
  <si>
    <t>सभी वर्गों के लिए समान</t>
  </si>
  <si>
    <t>यदि किसी बंटन का माध्य 10 और माध्यिका 11 है, तो बहुलक होगा: (311 - 210)</t>
  </si>
  <si>
    <t>प्रथम 5 पूर्ण संख्याओं का माध्य है:</t>
  </si>
  <si>
    <t>वर्ग अंतराल 40-60 की निम्न सीमा है:</t>
  </si>
  <si>
    <t>वर्ग अंतराल 40-60 की ऊपरी सीमा है:</t>
  </si>
  <si>
    <t>1, 2, 3, 4, 5 का मानक विचलन (Standard Deviation) है (लगभग):</t>
  </si>
  <si>
    <t>2, 4, 6, 8, 10 का माध्य है:</t>
  </si>
  <si>
    <t>यदि सभी प्रेक्षण समान हों (जैसे 5, 5, 5), तो मानक विचलन होगा:</t>
  </si>
  <si>
    <t>10-20, 20-30... यह किस प्रकार का वर्ग अंतराल है?</t>
  </si>
  <si>
    <t>10-19, 20-29... यह किस प्रकार का वर्ग अंतराल है?</t>
  </si>
  <si>
    <t>समावेशी वर्ग अंतराल को अपवर्जी में बदलने के लिए सीमाओं में कितना जोड़ा/घटाया जाता है?</t>
  </si>
  <si>
    <t>बंटन 2, 5, 8, 3, 8 का माध्यक है (2,3,5,8,8):</t>
  </si>
  <si>
    <t>एक बारंबारता बंटन में, एक वर्ग का मध्य बिंदु 10 है और चौड़ाई 6 है। निम्न सीमा होगी: (10 - 6/2)</t>
  </si>
  <si>
    <t>एक बारंबारता बंटन में, एक वर्ग का मध्य बिंदु 10 है और चौड़ाई 6 है। ऊपरी सीमा होगी: (10 + 6/2)</t>
  </si>
  <si>
    <t>किसी बारंबारता बंटन के लिए माध्य, माध्यिका और बहुलक में से किसे ग्राफ द्वारा निर्धारित नहीं किया जा सकता?</t>
  </si>
  <si>
    <t>ओजाइव (Ogive) वक्र का उपयोग किसे खोजने के लिए किया जाता है?</t>
  </si>
  <si>
    <t>किस सूत्र का उपयोग बहुलक ज्ञात करने के लिए किया जाता है?</t>
  </si>
  <si>
    <t>l + [(n/2-cf)/f]×h</t>
  </si>
  <si>
    <t>l + [(f1-f0)/(2f1-f0-f2)]×h</t>
  </si>
  <si>
    <t>यदि आंकड़ों में विषम संख्या (n) हो, तो माध्यक का सूत्र है:</t>
  </si>
  <si>
    <t>(n/2)वाँ पद</t>
  </si>
  <si>
    <t>(n+1)/2 वाँ पद</t>
  </si>
  <si>
    <t>[(n/2)वाँ + (n/2+1)वाँ]/2</t>
  </si>
  <si>
    <t>यदि आंकड़ों में सम संख्या (n) हो, तो माध्यक का सूत्र है:</t>
  </si>
  <si>
    <t>[(n/2)वाँ पद + (n/2+1)वाँ पद]/2</t>
  </si>
  <si>
    <t>सांख्यिकी शब्द की उत्पत्ति किस भाषा से हुई है? (Latin/Italian)</t>
  </si>
  <si>
    <t>लैटिन</t>
  </si>
  <si>
    <t>हिंदी</t>
  </si>
  <si>
    <t>संस्कृत</t>
  </si>
  <si>
    <t>अरबी</t>
  </si>
  <si>
    <t>बारंबारता (Frequency) का योग किसके बराबर होता है?</t>
  </si>
  <si>
    <t>N</t>
  </si>
  <si>
    <t>Σf</t>
  </si>
  <si>
    <t>दोनों a और b</t>
  </si>
  <si>
    <t>1 से 10 तक की धनात्मक सम संख्याओं का माध्य है: (2,4,6,8,10 -&gt; 30/5)</t>
  </si>
  <si>
    <t>10, 15, x, 20, 25 का माध्य 18 है। x का मान ज्ञात करें। (10+15+x+20+25)/5 = 18 -&gt; 70+x = 90 -&gt; x=20</t>
  </si>
  <si>
    <t>आंकड़ों 5, 10, 15, 20, 25 का परिसर है:</t>
  </si>
  <si>
    <t>किसी वितरण में अधिकतम बारंबारता वाला वर्ग कहलाता है:</t>
  </si>
  <si>
    <t>माध्य वर्ग</t>
  </si>
  <si>
    <t>बारंबारता वर्ग</t>
  </si>
  <si>
    <t>1, 2, x, 4, 5 का माध्य 3 है तो x का मान:</t>
  </si>
  <si>
    <t>यदि प्रत्येक प्रेक्षण में से एक निश्चित संख्या घटा दी जाए, तो माध्य:</t>
  </si>
  <si>
    <t>उतना ही घट जाएगा</t>
  </si>
  <si>
    <t>वही रहेगा</t>
  </si>
  <si>
    <t>बढ़ जाएगा</t>
  </si>
  <si>
    <t>0 हो जाएगा</t>
  </si>
  <si>
    <t>एक छात्र के 5 विषयों के अंक 60, 70, 80, 90, 100 हैं। औसत अंक (माध्य) क्या है?</t>
  </si>
  <si>
    <t>तोरण (Ogive) कितने प्रकार के होते हैं?</t>
  </si>
  <si>
    <t>2 ('से कम' और 'से अधिक')</t>
  </si>
  <si>
    <t>किसी वितरण का माध्यक आलेखीय विधि से ज्ञात करने के लिए 'से कम' और 'से अधिक' तोरण के प्रतिच्छेद बिंदु का ___ लिया जाता है।</t>
  </si>
  <si>
    <t>x-निर्देशांक</t>
  </si>
  <si>
    <t>y-निर्देशांक</t>
  </si>
  <si>
    <t>प्रथम 5 प्राकृत संख्याओं का माध्य है:</t>
  </si>
  <si>
    <t>बंटन 2, 4, 6, 8, ... 2n का माध्य है:</t>
  </si>
  <si>
    <t>सांख्यिकी का मुख्य उद्देश्य क्या है?</t>
  </si>
  <si>
    <t>आंकड़ों का संग्रहण</t>
  </si>
  <si>
    <t>आंकड़ों का प्रस्तुतिकरण</t>
  </si>
  <si>
    <t>आंकड़ों का विश्लेषण</t>
  </si>
  <si>
    <t>उपरोक्त सभी</t>
  </si>
  <si>
    <t>माध्य विचलन न्यूनतम होता है जब इसे मापा जाता है:</t>
  </si>
  <si>
    <t>माध्य से</t>
  </si>
  <si>
    <t>माध्यिका से</t>
  </si>
  <si>
    <t>बहुलक से</t>
  </si>
  <si>
    <t>मूल बिंदु से</t>
  </si>
  <si>
    <t>वर्ग चिन्ह (Class Mark) ज्ञात करने का सूत्र है:</t>
  </si>
  <si>
    <t>(उच्च सीमा + निम्न सीमा)/2</t>
  </si>
  <si>
    <t>उच्च सीमा - निम्न सीमा</t>
  </si>
  <si>
    <t>(उच्च सीमा - निम्न सीमा)/2</t>
  </si>
  <si>
    <t>उच्च सीमा × निम्न सीमा</t>
  </si>
  <si>
    <t>माध्य (Mean) किस मान से सबसे अधिक प्रभावित होता है?</t>
  </si>
  <si>
    <t>मध्य मान</t>
  </si>
  <si>
    <t>न्यूनतम मान</t>
  </si>
  <si>
    <t>चरम मान (Extreme values)</t>
  </si>
  <si>
    <t>सभी मान</t>
  </si>
  <si>
    <t>खुला सिरा (Open-ended) वर्ग अंतरालों के लिए सबसे उपयुक्त केंद्रीय प्रवृत्ति का माप है:</t>
  </si>
  <si>
    <t>गुणात्मक आंकड़ों (जैसे सुंदरता, ईमानदारी) के लिए सबसे उपयुक्त औसत है:</t>
  </si>
  <si>
    <t>हरात्मक माध्य</t>
  </si>
  <si>
    <t>जूतों के आकार (Size) के लिए सबसे उपयुक्त औसत है:</t>
  </si>
  <si>
    <t>गुणोत्तर माध्य</t>
  </si>
  <si>
    <t>से कम' तोरण कैसा वक्र है?</t>
  </si>
  <si>
    <t>बढ़ता हुआ (Increasing)</t>
  </si>
  <si>
    <t>घटता हुआ (Decreasing)</t>
  </si>
  <si>
    <t>स्थिर</t>
  </si>
  <si>
    <t>से अधिक' तोरण कैसा वक्र है?</t>
  </si>
  <si>
    <t>बढ़ता हुआ</t>
  </si>
  <si>
    <t>घटता हुआ</t>
  </si>
  <si>
    <t>यदि बहुलक और माध्यिका का अंतर 24 है, तो माध्यिका और माध्य का अंतर होगा: (Mode-Median = 24. 3Med-2Mean-Med=24 -&gt; 2(Med-Mean)=24)</t>
  </si>
  <si>
    <t>वर्गीकृत आंकड़ों का माध्य, माध्यिका और बहुलक हमेशा समान होते हैं:</t>
  </si>
  <si>
    <t>केवल सममित वितरण में</t>
  </si>
  <si>
    <t>सूत्र x̄ = a + (Σfidi / Σfi) में di क्या है?</t>
  </si>
  <si>
    <t>xi - a</t>
  </si>
  <si>
    <t>a - xi</t>
  </si>
  <si>
    <t>(xi - a)/h</t>
  </si>
  <si>
    <t>h(xi - a)</t>
  </si>
  <si>
    <t>सूत्र x̄ = a + (Σfiui / Σfi) × h में ui क्या है?</t>
  </si>
  <si>
    <t>xi/h</t>
  </si>
  <si>
    <t>निम्नलिखित में से कौन सा संबंध सही है?</t>
  </si>
  <si>
    <t>Mean - Mode = 3(Mean - Median)</t>
  </si>
  <si>
    <t>Mean - Median = 3(Mean - Mode)</t>
  </si>
  <si>
    <t>Mode = 3 Mean - 2 Median</t>
  </si>
  <si>
    <t>None</t>
  </si>
  <si>
    <t>10 प्राकृत संख्याओं का माध्य, यदि पहली संख्या 1 है:</t>
  </si>
  <si>
    <t>प्रथम n प्राकृत संख्याओं के वर्गों का माध्य है:</t>
  </si>
  <si>
    <t>(n+1)(2n+1)/6</t>
  </si>
  <si>
    <t>n(n+1)(2n+1)/6</t>
  </si>
  <si>
    <t>20, 25, 20, 15, 30, 20 का बहुलक है:</t>
  </si>
  <si>
    <t>3, 5, 7, 9, 11 का मानक विचलन ज्ञात करने के लिए हमें सबसे पहले क्या ज्ञात करना चाहिए?</t>
  </si>
  <si>
    <t>किसी वितरण का माध्य ज्ञात किया जा सकता है:</t>
  </si>
  <si>
    <t>तोरण द्वारा</t>
  </si>
  <si>
    <t>आयत चित्र द्वारा</t>
  </si>
  <si>
    <t>बारंबारता बहुभुज द्वारा</t>
  </si>
  <si>
    <t>इनमें से कोई नहीं (Calculation required)</t>
  </si>
  <si>
    <t>5, 8, 12, 15, x का माध्य 10 है तो x = ?</t>
  </si>
  <si>
    <t>यदि 10 प्रेक्षणों का माध्य 20 है और 20 प्रेक्षणों का माध्य 10 है, तो सभी 30 प्रेक्षणों का संयुक्त माध्य है:</t>
  </si>
  <si>
    <t>बारंबारता वक्र के नीचे का कुल क्षेत्रफल किसके बराबर होता है?</t>
  </si>
  <si>
    <t>कुल बारंबारता (N)</t>
  </si>
  <si>
    <t>संचयी बारंबारता (Cumulative Frequency) हमेशा:</t>
  </si>
  <si>
    <t>स्थिर रहती है</t>
  </si>
  <si>
    <t>बढ़ती या घटती है</t>
  </si>
  <si>
    <t>बढ़ती या घटती है ('से कम' में बढ़ती, 'से अधिक' में घटती)</t>
  </si>
  <si>
    <t>यदि माध्य = 20, माध्यिका = 22, तो बहुलक = ? (322 - 220 = 66 - 40)</t>
  </si>
  <si>
    <t>12, 14, 15, 16, 18 का माध्य क्या है?</t>
  </si>
  <si>
    <t>10-20 वर्ग की उच्च सीमा और निम्न सीमा का अंतर कहलाता है:</t>
  </si>
  <si>
    <t>वर्ग माप/विस्तार</t>
  </si>
  <si>
    <t>प्रथम 10 पूर्ण संख्याओं का माध्य है:</t>
  </si>
  <si>
    <t>1, 0, 2, 3, 4 का माध्यक है:</t>
  </si>
  <si>
    <t>7, 8, 9, 7, 8, 9, 9, 10, 11 का बहुलक है:</t>
  </si>
  <si>
    <t>15 से कम सभी अभाज्य संख्याओं का माध्य है: (2,3,5,7,11,13 -&gt; 41/6)</t>
  </si>
  <si>
    <t>यदि आंकड़ों का बहुलक 18 है और अंतर (माध्य - माध्यक) = 4 है, तो माध्य होगा: (Mean - Median = 4 =&gt; Mean = M + 4. Mode = 3Median - 2Mean. 18 = 3M - 2(M+4) =&gt; 18 = M - 8 =&gt; M = 26. Mean = 26+4 = 30)</t>
  </si>
  <si>
    <t>एक वर्ग का मध्य बिंदु 42 है और वर्ग अंतराल का माप 10 है। वर्ग अंतराल है:</t>
  </si>
  <si>
    <t>37-47</t>
  </si>
  <si>
    <t>32-52</t>
  </si>
  <si>
    <t>38-48</t>
  </si>
  <si>
    <t>40-50</t>
  </si>
  <si>
    <t>निम्नलिखित में से कौन सा डेटा का आलेखीय निरूपण नहीं है?</t>
  </si>
  <si>
    <t>बार ग्राफ</t>
  </si>
  <si>
    <t>टेबल</t>
  </si>
  <si>
    <t>माध्य - बहुलक = ?</t>
  </si>
  <si>
    <t>3(माध्य - माध्यिका)</t>
  </si>
  <si>
    <t>3(माध्यिका - माध्य)</t>
  </si>
  <si>
    <t>3(बहुलक - माध्य)</t>
  </si>
  <si>
    <t>50-60 वर्ग की संचयी बारंबारता क्या है यदि बारंबारताएँ 5, 8, 12 (50-60 के लिए) हैं और पूर्व संचयी बारंबारता 25 है?</t>
  </si>
  <si>
    <t>वर्ग अंतराल 0-10, 10-20, 20-30 के लिए वर्ग चिन्ह क्रमशः हैं:</t>
  </si>
  <si>
    <t>5, 15, 25</t>
  </si>
  <si>
    <t>10, 20, 30</t>
  </si>
  <si>
    <t>2, 3, 5, 7, 11, 13, 17 की माध्यिका है:</t>
  </si>
  <si>
    <t>यदि माध्य 5 है और मानक विचलन 2 है, तो विचरण गुणांक (Coefficient of Variation) क्या है?</t>
  </si>
  <si>
    <t>1, 2, 3 का प्रसरण (Variance) है:</t>
  </si>
  <si>
    <t>6, 8, 10, 12, 14 का माध्य है:</t>
  </si>
  <si>
    <t>आंकड़ों 10, 20, 30, 40, 50 के लिए, Σx = ?</t>
  </si>
  <si>
    <t>सूत्र x̄ = Σfx / Σf में f क्या दर्शाता है?</t>
  </si>
  <si>
    <t>2, 4, 6, 3, 4, 6, 3, 4 का बहुलक है:</t>
  </si>
  <si>
    <t>प्रथम 10 प्राकृत संख्याओं का माध्यक क्या होगा? (1...10, 5th=5, 6th=6, avg=5.5)</t>
  </si>
  <si>
    <t>यदि माध्यक = 25, माध्य = 25, तो बहुलक = ?</t>
  </si>
  <si>
    <t>वर्ग अंतराल 20-40 का वर्ग चिन्ह है:</t>
  </si>
  <si>
    <t>13, 15, 16, 17, 19, 20 की माध्यिका है: (16+17)/2</t>
  </si>
  <si>
    <t>यदि आंकड़ों की संख्या (n) 10 है, तो माध्यिका होगी:</t>
  </si>
  <si>
    <t>5वां पद</t>
  </si>
  <si>
    <t>6वां पद</t>
  </si>
  <si>
    <t>(5वां + 6वां पद) / 2</t>
  </si>
  <si>
    <t>5.5वां पद</t>
  </si>
  <si>
    <t>सांख्यिकी में पाई चार्ट (Pie Chart) का कुल कोण कितना होता है?</t>
  </si>
  <si>
    <t>माध्य 20 है और प्रत्येक मान में 2 घटाया जाए, तो नया माध्य होगा:</t>
  </si>
  <si>
    <t>बहुलक + 2(माध्य - बहुलक)/3 = ?</t>
  </si>
  <si>
    <t>वर्ग अंतराल 80-100 की लंबाई है:</t>
  </si>
  <si>
    <t>प्रथम 3 अभाज्य संख्याओं का माध्य है: (2,3,5 -&gt; 10/3)</t>
  </si>
  <si>
    <t>2, 3, x, 5 का माध्य 4 है, तो x = ?</t>
  </si>
  <si>
    <t>सबसे अधिक बार आने वाला प्रेक्षण कहलाता है:</t>
  </si>
  <si>
    <t>यदि बहुलक वर्ग 10-20 है, तो 'l' का मान है:</t>
  </si>
  <si>
    <t>बारंबारता बंटन की शुद्धता की जाँच किसके द्वारा नहीं की जा सकती?</t>
  </si>
  <si>
    <t>वर्ग 0-5, 5-10, 10-15 में 5 किस वर्ग में गिना जाएगा?</t>
  </si>
  <si>
    <t>0-5</t>
  </si>
  <si>
    <t>दोनों में</t>
  </si>
  <si>
    <t>किसी में नहीं</t>
  </si>
  <si>
    <t>5-10 (अपवर्जी विधि में निचली सीमा शामिल होती है)</t>
  </si>
  <si>
    <t>1, 2, 3, 4, 5 का प्रसरण (Variance) है:</t>
  </si>
  <si>
    <t>यदि Σfi = 20, Σfixi = 100, तो माध्य = ?</t>
  </si>
  <si>
    <t>दिए गए आंकड़ों का माध्यक 28.5 है तो कुल बारंबारता 60 होने पर x और y का संबंध होगा:</t>
  </si>
  <si>
    <t>x + y = 60</t>
  </si>
  <si>
    <t>x + y = 15</t>
  </si>
  <si>
    <t>x + y = 30</t>
  </si>
  <si>
    <t>(context specific, usually solved in subjective, but strictly x+y = N - sum of known f)</t>
  </si>
  <si>
    <t>तोरण वक्र के लिए हम y-अक्ष पर क्या लेते हैं?</t>
  </si>
  <si>
    <t>समान्तर माध्य (AM) और गुणोत्तर माध्य (GM) में संबंध है:</t>
  </si>
  <si>
    <t>AM = GM</t>
  </si>
  <si>
    <t>AM &gt; GM</t>
  </si>
  <si>
    <t>AM &lt; GM</t>
  </si>
  <si>
    <t>AM ≥ GM</t>
  </si>
  <si>
    <t>1, 1, 1, 1, 1 का मानक विचलन है:</t>
  </si>
  <si>
    <t>वर्ग अंतराल 25-30 में वर्ग की चौड़ाई है:</t>
  </si>
  <si>
    <t>यदि किसी वितरण का माध्यक उसके माध्य से अधिक है, तो वितरण है:</t>
  </si>
  <si>
    <t>सममित</t>
  </si>
  <si>
    <t>धनात्मक विषम</t>
  </si>
  <si>
    <t>ऋणात्मक विषम</t>
  </si>
  <si>
    <t>ऋणात्मक विषम (Negatively Skewed)</t>
  </si>
  <si>
    <t>सांख्यिकी का प्रयोग सर्वप्रथम कहाँ हुआ? (History context)</t>
  </si>
  <si>
    <t>भारत</t>
  </si>
  <si>
    <t>मिस्र</t>
  </si>
  <si>
    <t>जर्मनी</t>
  </si>
  <si>
    <t>चीन</t>
  </si>
  <si>
    <t>जर्मनी (Gottfried Achenwall)</t>
  </si>
  <si>
    <t>5, 10, 15, 20 का समांतर माध्य है:</t>
  </si>
  <si>
    <t>आंकड़ों को सारणीबद्ध करने का मुख्य उद्देश्य है:</t>
  </si>
  <si>
    <t>सरलीकरण</t>
  </si>
  <si>
    <t>तुलना</t>
  </si>
  <si>
    <t>विश्लेषण</t>
  </si>
  <si>
    <t>कौन सा औसत चरम मानों से सबसे कम प्रभावित होता है?</t>
  </si>
  <si>
    <t>वर्ग अंतराल 10-20 का मध्य बिंदु है:</t>
  </si>
  <si>
    <t>Σ(x - x̄) का मान हमेशा होता है: (माध्य से विचलन का योग)</t>
  </si>
  <si>
    <t>यदि आंकड़ों का विचरण (Variance) 144 है, तो मानक विचलन है:</t>
  </si>
  <si>
    <t>किस केंद्रीय प्रवृत्ति का उपयोग जूते के नंबर के लिए किया जाता है?</t>
  </si>
  <si>
    <t>किस केंद्रीय प्रवृत्ति का उपयोग औसत चाल ज्ञात करने के लिए किया जाता है? (जब दूरी समान हो)</t>
  </si>
  <si>
    <t>हरात्मक माध्य (Harmonic Mean)</t>
  </si>
  <si>
    <t>10, 20, 30, 40, 50 की माध्यिका है:</t>
  </si>
  <si>
    <t>माध्यिका को ग्राफ़ पर किससे मापा जाता है?</t>
  </si>
  <si>
    <t>किसी श्रेणी का माध्य 20 है और बहुलक 16 है, तो माध्यिका क्या होगी? (16 = 3M - 2*20 =&gt; 16+40 = 3M =&gt; 56/3)</t>
  </si>
  <si>
    <t>यदि सभी बारंबारताएँ बराबर हों, तो बहुलक होगा:</t>
  </si>
  <si>
    <t>कोई बहुलक नहीं</t>
  </si>
  <si>
    <t>कोई बहुलक नहीं (ill-defined)</t>
  </si>
  <si>
    <t>वर्ग अंतराल 50-70 का वर्ग चिन्ह है:</t>
  </si>
  <si>
    <t>सांख्यिकी शब्द लैटिन भाषा के किस शब्द से बना है?</t>
  </si>
  <si>
    <t>Status</t>
  </si>
  <si>
    <t>Statista</t>
  </si>
  <si>
    <t>Statistik</t>
  </si>
  <si>
    <t>Statistics</t>
  </si>
  <si>
    <t>प्राथमिक आंकड़े (Primary Data) होते हैं:</t>
  </si>
  <si>
    <t>मौलिक</t>
  </si>
  <si>
    <t>कम विश्वसनीय</t>
  </si>
  <si>
    <t>प्रकाशित स्रोतों से</t>
  </si>
  <si>
    <t>द्वितीयक आंकड़े (Secondary Data) होते हैं:</t>
  </si>
  <si>
    <t>पहले से एकत्रित</t>
  </si>
  <si>
    <t>अन्वेषक द्वारा स्वयं एकत्रित</t>
  </si>
  <si>
    <t>आंकड़ों 1, 2, 3, 4, 5 का माध्य से माध्य विचलन गुणांक (Coefficient of Mean Deviation) है: (MD=1.2, Mean=3 -&gt; 1.2/3 = 0.4)</t>
  </si>
  <si>
    <t>यदि आंकड़ों का माध्य = माध्यिका = बहुलक हो, तो वितरण है:</t>
  </si>
  <si>
    <t>सममित (Symmetrical)</t>
  </si>
  <si>
    <t>असममित</t>
  </si>
  <si>
    <t>माध्यिका त्रिभुज को विभाजित करती है:</t>
  </si>
  <si>
    <t>दो समान क्षेत्रफल वाले त्रिभुजों में</t>
  </si>
  <si>
    <t>तीन समान त्रिभुजों में</t>
  </si>
  <si>
    <t>चार समान त्रिभुजों में</t>
  </si>
  <si>
    <t>संचयी बारंबारता वक्र के ढलान (Slope) से क्या निर्धारित नहीं किया जा सकता?</t>
  </si>
  <si>
    <t>चतुर्थक</t>
  </si>
  <si>
    <t>दशमक</t>
  </si>
  <si>
    <t>1, 2, 2, 3, 3, 3, 4, 4, 4, 4 का बहुलक है:</t>
  </si>
  <si>
    <t>यदि n प्रेक्षणों का माध्य x̄ है और प्रत्येक प्रेक्षण को k से गुणा किया जाए, तो नया माध्य होगा:</t>
  </si>
  <si>
    <t>x̄</t>
  </si>
  <si>
    <t>k x̄</t>
  </si>
  <si>
    <t>x̄/k</t>
  </si>
  <si>
    <t>x̄+k</t>
  </si>
  <si>
    <t>यदि n प्रेक्षणों का माध्य x̄ है और प्रत्येक प्रेक्षण में k जोड़ा जाए, तो नया माध्य होगा:</t>
  </si>
  <si>
    <t>x̄-k</t>
  </si>
  <si>
    <t>निम्नलिखित में से कौन माप की इकाई से स्वतंत्र है?</t>
  </si>
  <si>
    <t>विचरण गुणांक</t>
  </si>
  <si>
    <t>विचरण गुणांक (Coefficient of Variation)</t>
  </si>
  <si>
    <t>परिसर (Range) का गुणांक का सूत्र है:</t>
  </si>
  <si>
    <t>(L-S)/(L+S)</t>
  </si>
  <si>
    <t>L-S</t>
  </si>
  <si>
    <t>L+S</t>
  </si>
  <si>
    <t>(L+S)/2</t>
  </si>
  <si>
    <t>वर्ग अंतराल 10-20, 20-30 के लिए वर्ग चिन्हों का अंतर किसके बराबर होता है?</t>
  </si>
  <si>
    <t>वर्ग अंतराल की लंबाई</t>
  </si>
  <si>
    <t>यदि CV = 50%, σ = 5, तो माध्य (Mean) = ? (CV = σ/Mean * 100 =&gt; 50 = 5/M * 100 =&gt; M = 10)</t>
  </si>
  <si>
    <t>निम्नलिखित में से कौन सा केंद्रीय प्रवृत्ति का माप सबसे अधिक स्थिर है?</t>
  </si>
  <si>
    <t>यदि आंकड़ों का बहुलक और माध्यिका ज्ञात हो, तो माध्य ज्ञात करने का सूत्र है:</t>
  </si>
  <si>
    <t>(3 माध्यिका - बहुलक) / 2</t>
  </si>
  <si>
    <t>(3 बहुलक - माध्यिका) / 2</t>
  </si>
  <si>
    <t>3 माध्यिका - 2 बहुलक</t>
  </si>
  <si>
    <t>10, 12, 14, 16, 18 का प्रसरण (Variance) है: (Mean=14, Dev: -4,-2,0,2,4 -&gt; Sq: 16,4,0,4,16 -&gt; Sum=40 -&gt; Var=40/5=8)</t>
  </si>
  <si>
    <t>10, 12, 14, 16, 18 का मानक विचलन (SD) है: (Var=8 -&gt; SD=√8)</t>
  </si>
  <si>
    <t>"सांख्यिकी गणनाओं का विज्ञान है" - यह परिभाषा किसने दी?</t>
  </si>
  <si>
    <t>ए.एल. बाउले</t>
  </si>
  <si>
    <t>सेलिगमैन</t>
  </si>
  <si>
    <t>बोडिंगटन</t>
  </si>
  <si>
    <t>वेबस्टर</t>
  </si>
  <si>
    <t>ए.एल. बाउले (A.L. Bowley)</t>
  </si>
  <si>
    <t>किसी वर्ग की बारंबारता और कुल बारंबारता का अनुपात कहलाता है:</t>
  </si>
  <si>
    <t>सापेक्ष बारंबारता (Relative Frequency)</t>
  </si>
  <si>
    <t>बारंबारता घनत्व</t>
  </si>
  <si>
    <t>बारंबारता / वर्ग की चौड़ाई = ?</t>
  </si>
  <si>
    <t>बारंबारता घनत्व (Frequency Density)</t>
  </si>
  <si>
    <t>13, 18, 13, 14, 13, 16, 14, 21, 13 का बहुलक है:</t>
  </si>
  <si>
    <t>वर्गीकृत आंकड़ों का माध्यक निकालते समय cf क्या है?</t>
  </si>
  <si>
    <t>माध्यक वर्ग की बारंबारता</t>
  </si>
  <si>
    <t>माध्यक वर्ग से ठीक पहले वाले वर्ग की संचयी बारंबारता</t>
  </si>
  <si>
    <t>माध्यक वर्ग की संचयी बारंबारता</t>
  </si>
  <si>
    <t>कुल बारंबारता</t>
  </si>
  <si>
    <t>कल्पित माध्य 'a' और वर्ग चिन्ह 'x' का अंतर 'd' कहलाता है:</t>
  </si>
  <si>
    <t>विचलन (Deviation)</t>
  </si>
  <si>
    <t>वर्ग विस्तार</t>
  </si>
  <si>
    <t>किसी परीक्षा में छात्रों के प्राप्तांक किस प्रकार के चर (Variable) हैं?</t>
  </si>
  <si>
    <t>सतत (Continuous)</t>
  </si>
  <si>
    <t>असतत (Discrete)</t>
  </si>
  <si>
    <t>गुणात्मक</t>
  </si>
  <si>
    <t>सतत (Continuous) (usually marks are discrete but treated continuous in grouped data)</t>
  </si>
  <si>
    <t>परिवारों में बच्चों की संख्या किस प्रकार का चर है?</t>
  </si>
  <si>
    <t>सतत</t>
  </si>
  <si>
    <t>माध्यिका, चतुर्थक (Quartile), दशमक (Decile) और शतमक (Percentile) कहलाते हैं:</t>
  </si>
  <si>
    <t>विभाजन मूल्य (Partition Values)</t>
  </si>
  <si>
    <t>सहसंबंध</t>
  </si>
  <si>
    <t>आंकड़ों को 4 बराबर भागों में बांटने वाले मूल्य कहलाते हैं:</t>
  </si>
  <si>
    <t>चतुर्थक (Quartiles)</t>
  </si>
  <si>
    <t>शतमक</t>
  </si>
  <si>
    <t>दूसरा चतुर्थक (Q2) किसके बराबर होता है?</t>
  </si>
  <si>
    <t>Q1</t>
  </si>
  <si>
    <t>आंकड़ों को 10 बराबर भागों में बांटने वाले मूल्य कहलाते हैं:</t>
  </si>
  <si>
    <t>दशमक (Deciles)</t>
  </si>
  <si>
    <t>आंकड़ों को 100 बराबर भागों में बांटने वाले मूल्य कहलाते हैं:</t>
  </si>
  <si>
    <t>शतमक (Percentiles)</t>
  </si>
  <si>
    <t>P50 (50वां शतमक) किसके बराबर है?</t>
  </si>
  <si>
    <t>Q3</t>
  </si>
  <si>
    <t>बॉक्स और व्हिस्कर प्लॉट (Box and Whisker Plot) प्रदर्शित करता है:</t>
  </si>
  <si>
    <t>5 संख्या सारांश (Min, Q1, Median, Q3, Max)</t>
  </si>
  <si>
    <t>5 संख्या सारांश</t>
  </si>
  <si>
    <t>एक सममित बंटन में विषमता (Skewness) होती है:</t>
  </si>
  <si>
    <t>वर्ग अंतराल 0-10 की संचयी बारंबारता क्या है यदि बारंबारता 5 है?</t>
  </si>
  <si>
    <t>यदि बारंबारता बंटन में 'से कम' और 'से अधिक' तोरण एक दूसरे को (20, 30) पर काटते हैं, तो माध्यक है:</t>
  </si>
  <si>
    <t>20 (x-coordinate)</t>
  </si>
  <si>
    <t>यदि किसी बंटन का Q1 = 10 और Q3 = 30 है, तो चतुर्थक विचलन (Quartile Deviation) है: (Q3-Q1)/2 = (30-10)/2 = 10</t>
  </si>
  <si>
    <t>केंद्रीय प्रवृत्ति का सबसे सरल माप है:</t>
  </si>
  <si>
    <t>बहुलक (गणना में सबसे सरल/देखकर पता चलता है)</t>
  </si>
  <si>
    <t>30-40 वर्ग की बारंबारता 10 है और वर्ग चौड़ाई 10 है। बारंबारता घनत्व है: (10/10)</t>
  </si>
  <si>
    <t>सांख्यिकी में त्रुटि (Error) का अर्थ है:</t>
  </si>
  <si>
    <t>गलती</t>
  </si>
  <si>
    <t>वास्तविक मान और अनुमानित मान का अंतर</t>
  </si>
  <si>
    <t>गलत गणना</t>
  </si>
  <si>
    <t>प्रतिदर्श (Sample) किसका हिस्सा है?</t>
  </si>
  <si>
    <t>जनसंख्या (Population) का</t>
  </si>
  <si>
    <t>आंकड़ों का</t>
  </si>
  <si>
    <t>चर का</t>
  </si>
  <si>
    <t>त्रुटि का</t>
  </si>
  <si>
    <t>यादृच्छिक प्रतिचयन (Random Sampling) में प्रत्येक इकाई के चुने जाने की संभावना होती है:</t>
  </si>
  <si>
    <t>जनगणना (Census) में अध्ययन किया जाता है:</t>
  </si>
  <si>
    <t>प्रतिदर्श का</t>
  </si>
  <si>
    <t>पूरी जनसंख्या का</t>
  </si>
  <si>
    <t>कुछ चुने हुए भागों का</t>
  </si>
  <si>
    <t>NSSO का पूर्ण रूप है:</t>
  </si>
  <si>
    <t>National Sample Survey Office</t>
  </si>
  <si>
    <t>National Statistics Survey Office</t>
  </si>
  <si>
    <t>New Sample Survey Office</t>
  </si>
  <si>
    <t>सांख्यिकी दिवस (भारत में) कब मनाया जाता है? (PC Mahalanobis B'day)</t>
  </si>
  <si>
    <t>29 जून</t>
  </si>
  <si>
    <t>5 जून</t>
  </si>
  <si>
    <t>14 नवंबर</t>
  </si>
  <si>
    <t>2 अक्टूबर</t>
  </si>
  <si>
    <t>भारतीय सांख्यिकी संस्थान (ISI) कहाँ स्थित है?</t>
  </si>
  <si>
    <t>दिल्ली</t>
  </si>
  <si>
    <t>मुंबई</t>
  </si>
  <si>
    <t>कोलकाता</t>
  </si>
  <si>
    <t>चेन्नई</t>
  </si>
  <si>
    <t>1, 2, 6, 8, 100 (Outlier present) के लिए उपयुक्त औसत है:</t>
  </si>
  <si>
    <t>माध्यिका (Outliers से कम प्रभावित)</t>
  </si>
  <si>
    <t>ज्यामितीय माध्य (Geometric Mean) का सूत्र (n संख्याओं के लिए) है:</t>
  </si>
  <si>
    <t>(x1+x2+...+xn)/n</t>
  </si>
  <si>
    <t>(x1x2...*xn)^(1/n)</t>
  </si>
  <si>
    <t>n/Σ(1/x)</t>
  </si>
  <si>
    <t>हरात्मक माध्य (Harmonic Mean) का सूत्र है:</t>
  </si>
  <si>
    <t>Σx/n</t>
  </si>
  <si>
    <t>(x1*...*xn)^(1/n)</t>
  </si>
  <si>
    <t>n / Σ(1/x)</t>
  </si>
  <si>
    <t>n / Σx</t>
  </si>
  <si>
    <t>(1, 2, 4) का गुणोत्तर माध्य है: (124)^(1/3) = 8^(1/3) = 2</t>
  </si>
  <si>
    <t>(2, 4, 8) का हरात्मक माध्य है: 3/(1/2+1/4+1/8) = 3/(7/8) = 24/7 = 3.43</t>
  </si>
  <si>
    <t>एक विद्यार्थी के अंक 40, 50, 60, 70, 80 हैं। यदि पास होने के लिए 40 अंक चाहिए, तो वह कितने विषयों में पास है?</t>
  </si>
  <si>
    <t>5 (सभी में &gt;= 40)</t>
  </si>
  <si>
    <t>बारंबारता बंटन बनाते समय मिलान चिन्ह (Tally marks) का उपयोग किसकी गणना के लिए किया जाता है?</t>
  </si>
  <si>
    <t>inclusive series' (समावेशी श्रृंखला) में 10-19 के बाद अगला वर्ग शुरू होगा:</t>
  </si>
  <si>
    <t>19 से</t>
  </si>
  <si>
    <t>20 से</t>
  </si>
  <si>
    <t>19.5 से</t>
  </si>
  <si>
    <t>20.5 से</t>
  </si>
  <si>
    <t>exclusive series' (अपवर्जी श्रृंखला) में 10-20 के बाद अगला वर्ग शुरू होगा:</t>
  </si>
  <si>
    <t>21 से</t>
  </si>
  <si>
    <t>खुले सिरे वाले वर्ग (जैसे '10 से कम', '50 से अधिक') में वर्ग विस्तार (Class width) आमतौर पर माना जाता है:</t>
  </si>
  <si>
    <t>पड़ोसी वर्ग के समान</t>
  </si>
  <si>
    <t>यदि बारंबारता बंटन में वर्ग अंतराल असमान हों, तो आयत चित्र में आयत की ऊँचाई किसके समानुपाती होनी चाहिए?</t>
  </si>
  <si>
    <t>किसी श्रेणी का विचरण 9 है, तो मानक विचलन होगा:</t>
  </si>
  <si>
    <t>3 (Standard deviation is always positive)</t>
  </si>
  <si>
    <t>विचरण (Variance) मानक विचलन का क्या होता है?</t>
  </si>
  <si>
    <t>मानक विचलन (Standard Deviation) को किससे सूचित किया जाता है?</t>
  </si>
  <si>
    <t>σ (सिग्मा)</t>
  </si>
  <si>
    <t>μ (म्यू)</t>
  </si>
  <si>
    <t>x̄ (एक्स बार)</t>
  </si>
  <si>
    <t>Z</t>
  </si>
  <si>
    <t>जनसंख्या माध्य (Population Mean) को किससे सूचित किया जाता है?</t>
  </si>
  <si>
    <t>σ</t>
  </si>
  <si>
    <t>μ</t>
  </si>
  <si>
    <t>S</t>
  </si>
  <si>
    <t>नमूना माध्य (Sample Mean) को किससे सूचित किया जाता है?</t>
  </si>
  <si>
    <t>सहसंबंध गुणांक (Correlation Coefficient) 'r' का मान किसके बीच होता है?</t>
  </si>
  <si>
    <t>0 से 1</t>
  </si>
  <si>
    <t>-1 से 0</t>
  </si>
  <si>
    <t>-1 से +1</t>
  </si>
  <si>
    <t>1 से ∞</t>
  </si>
  <si>
    <t>यदि r = 0 हो, तो चरों के बीच सहसंबंध है:</t>
  </si>
  <si>
    <t>पूर्ण धनात्मक</t>
  </si>
  <si>
    <t>पूर्ण ऋणात्मक</t>
  </si>
  <si>
    <t>कोई सहसंबंध नहीं</t>
  </si>
  <si>
    <t>कम सहसंबंध</t>
  </si>
  <si>
    <t>यदि r = +1 हो, तो सहसंबंध है:</t>
  </si>
  <si>
    <t>प्रतिगमन रेखाएँ (Regression Lines) एक दूसरे को किस बिंदु पर काटती हैं?</t>
  </si>
  <si>
    <t>(x̄, ȳ)</t>
  </si>
  <si>
    <t>(σx, σy)</t>
  </si>
  <si>
    <t>(x̄, ȳ) (Mean point)</t>
  </si>
  <si>
    <t>सूचकांक (Index Number) किस प्रकार के परिवर्तन को मापता है?</t>
  </si>
  <si>
    <t>निरपेक्ष</t>
  </si>
  <si>
    <t>सापेक्ष (प्रतिशत)</t>
  </si>
  <si>
    <t>आधार वर्ष (Base Year) का सूचकांक हमेशा कितना माना जाता है?</t>
  </si>
  <si>
    <t>लास्पेयेरे (Laspeyres) का सूचकांक किस भार पर आधारित है?</t>
  </si>
  <si>
    <t>आधार वर्ष की मात्रा</t>
  </si>
  <si>
    <t>चालू वर्ष की मात्रा</t>
  </si>
  <si>
    <t>दोनों का औसत</t>
  </si>
  <si>
    <t>पाशे (Paasche) का सूचकांक किस भार पर आधारित है?</t>
  </si>
  <si>
    <t>फिशर का आदर्श सूचकांक किसका गुणोत्तर माध्य है?</t>
  </si>
  <si>
    <t>लास्पेयेरे और पाशे</t>
  </si>
  <si>
    <t>लास्पेयेरे और डॉर्बिश</t>
  </si>
  <si>
    <t>पाशे और मार्शल</t>
  </si>
  <si>
    <t>काल श्रेणी (Time Series) के कितने घटक होते हैं?</t>
  </si>
  <si>
    <t>4 (Trend, Seasonal, Cyclical, Irregular)</t>
  </si>
  <si>
    <t>मौसमी परिवर्तन (Seasonal Variation) की अवधि होती है:</t>
  </si>
  <si>
    <t>एक वर्ष से कम</t>
  </si>
  <si>
    <t>एक वर्ष से अधिक</t>
  </si>
  <si>
    <t>कई वर्ष</t>
  </si>
  <si>
    <t>अनिश्चित</t>
  </si>
  <si>
    <t>चक्रीय परिवर्तन (Cyclical Variation) की अवधि होती है:</t>
  </si>
  <si>
    <t>एक दिन</t>
  </si>
  <si>
    <t>एक सप्ताह</t>
  </si>
  <si>
    <t>यादृच्छिक (Irregular) परिवर्तन का कारण है:</t>
  </si>
  <si>
    <t>मौसम</t>
  </si>
  <si>
    <t>त्यौहार</t>
  </si>
  <si>
    <t>बाढ़/भूकंप (अप्रत्याशित)</t>
  </si>
  <si>
    <t>व्यापार चक्र</t>
  </si>
  <si>
    <t>प्रवृत्ति (Trend) क्या दर्शाती है?</t>
  </si>
  <si>
    <t>अल्पकालिक उतार-चढ़ाव</t>
  </si>
  <si>
    <t>दीर्घकालिक दिशा</t>
  </si>
  <si>
    <t>मौसमी बदलाव</t>
  </si>
  <si>
    <t>यादृच्छिक बदलाव</t>
  </si>
  <si>
    <t>3 वर्षीय चल माध्य (Moving Average) निकालने के लिए हम कितने वर्षों का योग करते हैं?</t>
  </si>
  <si>
    <t>लॉरेंज वक्र (Lorenz Curve) क्या मापता है?</t>
  </si>
  <si>
    <t>आय की असमानता</t>
  </si>
  <si>
    <t>औसत आय</t>
  </si>
  <si>
    <t>कुल आय</t>
  </si>
  <si>
    <t>गरीबी रेखा</t>
  </si>
  <si>
    <t>लॉरेंज वक्र जितना समानता रेखा (Line of Equality) के पास होगा, असमानता उतनी ही:</t>
  </si>
  <si>
    <t>कम होगी</t>
  </si>
  <si>
    <t>अधिक होगी</t>
  </si>
  <si>
    <t>शून्य होगी</t>
  </si>
  <si>
    <t>अनंत होगी</t>
  </si>
  <si>
    <t>गिन्नी गुणांक (Gini Coefficient) का मान किसके बीच होता है?</t>
  </si>
  <si>
    <t>-1 से 1</t>
  </si>
  <si>
    <t>0 से 100</t>
  </si>
  <si>
    <t>1 से 10</t>
  </si>
  <si>
    <t>प्रायिकता का योग हमेशा 1 होता है, यह सांख्यिकी के किस सिद्धांत से संबंधित है?</t>
  </si>
  <si>
    <t>योग नियम</t>
  </si>
  <si>
    <t>गुणन नियम</t>
  </si>
  <si>
    <t>पूर्ण संभावना</t>
  </si>
  <si>
    <t>पूर्ण संभावना (Total Probability)</t>
  </si>
  <si>
    <t>बेयस प्रमेय (Bayes' Theorem) संबंधित है:</t>
  </si>
  <si>
    <t>शर्तिया प्रायिकता (Conditional Probability)</t>
  </si>
  <si>
    <t>स्वतंत्र घटना</t>
  </si>
  <si>
    <t>परस्पर अपवर्जी घटना</t>
  </si>
  <si>
    <t>सामान्य प्रायिकता</t>
  </si>
  <si>
    <t>दो पासों को फेंकने पर कुल परिणामों की संख्या होगी:</t>
  </si>
  <si>
    <t>एक सिक्के को 3 बार उछालने पर कुल परिणामों की संख्या होगी:</t>
  </si>
  <si>
    <t>8 (2^3)</t>
  </si>
  <si>
    <t>द्विपद बंटन (Binomial Distribution) में प्राचलों (Parameters) की संख्या है:</t>
  </si>
  <si>
    <t>1 (p)</t>
  </si>
  <si>
    <t>2 (n, p)</t>
  </si>
  <si>
    <t>प्वासों बंटन (Poisson Distribution) में माध्य और प्रसरण का संबंध है:</t>
  </si>
  <si>
    <t>माध्य &gt; प्रसरण</t>
  </si>
  <si>
    <t>माध्य &lt; प्रसरण</t>
  </si>
  <si>
    <t>माध्य = प्रसरण</t>
  </si>
  <si>
    <t>सामान्य बंटन (Normal Distribution) का आकार होता है:</t>
  </si>
  <si>
    <t>U-आकार</t>
  </si>
  <si>
    <t>J-आकार</t>
  </si>
  <si>
    <t>घंटी के आकार (Bell-shaped)</t>
  </si>
  <si>
    <t>L-आकार</t>
  </si>
  <si>
    <t>सामान्य बंटन में माध्य, माध्यिका और बहुलक होते हैं:</t>
  </si>
  <si>
    <t>अलग-अलग</t>
  </si>
  <si>
    <t>माध्य &gt; माध्यिका</t>
  </si>
  <si>
    <t>सामान्य वक्र (Normal Curve) के अंतर्गत कुल क्षेत्रफल होता है:</t>
  </si>
  <si>
    <t>मानक सामान्य चर (Standard Normal Variate) Z का सूत्र है:</t>
  </si>
  <si>
    <t>(X - μ) / σ</t>
  </si>
  <si>
    <t>(X - x̄) / s</t>
  </si>
  <si>
    <t>(X - μ) / s</t>
  </si>
  <si>
    <t>(X - μ)² / σ</t>
  </si>
  <si>
    <t>परिकल्पना परीक्षण (Hypothesis Testing) में H0 कहलाता है:</t>
  </si>
  <si>
    <t>शून्य परिकल्पना (Null Hypothesis)</t>
  </si>
  <si>
    <t>वैकल्पिक परिकल्पना</t>
  </si>
  <si>
    <t>सरल परिकल्पना</t>
  </si>
  <si>
    <t>जटिल परिकल्पना</t>
  </si>
  <si>
    <t>टाइप I त्रुटि (Type I Error) कब होती है?</t>
  </si>
  <si>
    <t>जब H0 सत्य हो और उसे अस्वीकार कर दिया जाए</t>
  </si>
  <si>
    <t>जब H0 असत्य हो और स्वीकार कर लिया जाए</t>
  </si>
  <si>
    <t>जब H0 सत्य हो और स्वीकार कर लिया जाए</t>
  </si>
  <si>
    <t>टाइप II त्रुटि (Type II Error) कब होती है?</t>
  </si>
  <si>
    <t>जब H0 सत्य हो और अस्वीकार कर दिया जाए</t>
  </si>
  <si>
    <t>जब H0 असत्य हो और अस्वीकार कर दिया जाए</t>
  </si>
  <si>
    <t>सार्थकता स्तर (Level of Significance) को आमतौर पर किससे सूचित किया जाता है?</t>
  </si>
  <si>
    <t>α (अल्फा)</t>
  </si>
  <si>
    <t>β (बीटा)</t>
  </si>
  <si>
    <t>p-value</t>
  </si>
  <si>
    <t>z-value</t>
  </si>
  <si>
    <t>t-परीक्षण (t-test) का उपयोग कब किया जाता है?</t>
  </si>
  <si>
    <t>जब नमूना आकार बड़ा हो (n &gt; 30)</t>
  </si>
  <si>
    <t>जब नमूना आकार छोटा हो (n &lt; 30)</t>
  </si>
  <si>
    <t>जब जनसंख्या मानक विचलन ज्ञात हो</t>
  </si>
  <si>
    <t>काई-वर्ग परीक्षण (Chi-square test) का उपयोग किया जाता है:</t>
  </si>
  <si>
    <t>माध्य की तुलना के लिए</t>
  </si>
  <si>
    <t>प्रसरण की तुलना के लिए</t>
  </si>
  <si>
    <t>आसंजन की अच्छाई (Goodness of fit) के लिए</t>
  </si>
  <si>
    <t>सहसंबंध के लिए</t>
  </si>
  <si>
    <t>ANOVA का पूर्ण रूप है:</t>
  </si>
  <si>
    <t>Analysis of Variance</t>
  </si>
  <si>
    <t>Analysis of Variables</t>
  </si>
  <si>
    <t>Analysis of Value</t>
  </si>
  <si>
    <t>Annual Variance</t>
  </si>
  <si>
    <t>F-परीक्षण (F-test) का उपयोग किसकी तुलना के लिए किया जाता है?</t>
  </si>
  <si>
    <t>दो माध्यों की</t>
  </si>
  <si>
    <t>दो प्रसरणों की</t>
  </si>
  <si>
    <t>दो माध्यिकाओं की</t>
  </si>
  <si>
    <t>दो अनुपातों की</t>
  </si>
  <si>
    <t>सहसंबंध गुणांक का वर्ग (r²) कहलाता है:</t>
  </si>
  <si>
    <t>निर्धारण गुणांक (Coefficient of Determination)</t>
  </si>
  <si>
    <t>अलगाव गुणांक</t>
  </si>
  <si>
    <t>प्रतिगमन गुणांक</t>
  </si>
  <si>
    <t>प्रतिगमन गुणांकों का गुणोत्तर माध्य किसके बराबर होता है?</t>
  </si>
  <si>
    <t>सहसंबंध गुणांक (r)</t>
  </si>
  <si>
    <t>विचरण</t>
  </si>
  <si>
    <t>यदि bxy = 0.4 और byx = 0.9, तो r = ?</t>
  </si>
  <si>
    <t>0.6 (√(0.4*0.9))</t>
  </si>
  <si>
    <t>कोटि सहसंबंध (Rank Correlation) का सूत्र किसने दिया?</t>
  </si>
  <si>
    <t>पियर्सन</t>
  </si>
  <si>
    <t>स्पीयरमैन</t>
  </si>
  <si>
    <t>गॉल्टन</t>
  </si>
  <si>
    <t>यदि दो चरों में परिवर्तन एक ही दिशा में हो, तो सहसंबंध होगा:</t>
  </si>
  <si>
    <t>वक्ररेखीय</t>
  </si>
  <si>
    <t>यदि दो चरों में परिवर्तन विपरीत दिशा में हो, तो सहसंबंध होगा:</t>
  </si>
  <si>
    <t>स्कैटर डायग्राम (Scatter Diagram) का उपयोग किसके अध्ययन के लिए किया जाता है?</t>
  </si>
  <si>
    <t>सूचकांक</t>
  </si>
  <si>
    <t>न्यूनतम वर्ग विधि (Method of Least Squares) का उपयोग किसमें होता है?</t>
  </si>
  <si>
    <t>प्रतिगमन विश्लेषण (Regression)</t>
  </si>
  <si>
    <t>माध्य गणना</t>
  </si>
  <si>
    <t>बहुलक गणना</t>
  </si>
  <si>
    <t>समीकरण Y = a + bX में 'b' क्या दर्शाता है?</t>
  </si>
  <si>
    <t>अंतःखंड (Intercept)</t>
  </si>
  <si>
    <t>ढलान (Slope) / प्रतिगमन गुणांक</t>
  </si>
  <si>
    <t>त्रुटि</t>
  </si>
  <si>
    <t>समीकरण Y = a + bX में 'a' क्या दर्शाता है?</t>
  </si>
  <si>
    <t>ढलान</t>
  </si>
  <si>
    <t>सांख्यिकीय निष्कर्ष (Statistical Inference) के दो मुख्य भाग हैं:</t>
  </si>
  <si>
    <t>आकलन और परिकल्पना परीक्षण</t>
  </si>
  <si>
    <t>माध्य और माध्यिका</t>
  </si>
  <si>
    <t>डेटा संग्रह और प्रस्तुति</t>
  </si>
  <si>
    <t>बिंदु आकलन (Point Estimation) और अंतराल आकलन (Interval Estimation) किसके प्रकार हैं?</t>
  </si>
  <si>
    <t>परिकल्पना परीक्षण</t>
  </si>
  <si>
    <t>आकलन (Estimation)</t>
  </si>
  <si>
    <t>प्रतिचयन</t>
  </si>
  <si>
    <t>एक अच्छा आकलक (Estimator) होना चाहिए:</t>
  </si>
  <si>
    <t>अनभिनत (Unbiased)</t>
  </si>
  <si>
    <t>सुसंगत (Consistent)</t>
  </si>
  <si>
    <t>कुशल (Efficient)</t>
  </si>
  <si>
    <t>केंद्रीय सीमा प्रमेय (Central Limit Theorem) संबंधित है:</t>
  </si>
  <si>
    <t>नमूना माध्य के वितरण से</t>
  </si>
  <si>
    <t>नमूना माध्यिका से</t>
  </si>
  <si>
    <t>जनसंख्या बहुलक से</t>
  </si>
  <si>
    <t>नमूना परिसर से</t>
  </si>
  <si>
    <t>बड़े प्रतिदर्श (Large Sample) के लिए कौन सा परीक्षण उपयुक्त है?</t>
  </si>
  <si>
    <t>t-test</t>
  </si>
  <si>
    <t>Z-test</t>
  </si>
  <si>
    <t>F-test</t>
  </si>
  <si>
    <t>Chi-square test</t>
  </si>
  <si>
    <t>स्वतंत्रता की कोटि (Degrees of Freedom) संबंधित है:</t>
  </si>
  <si>
    <t>प्रतिदर्श आकार से</t>
  </si>
  <si>
    <t>जनसंख्या आकार से</t>
  </si>
  <si>
    <t>चरों की संख्या से</t>
  </si>
  <si>
    <t>प्रतिदर्श आकार से (n-1 etc.)</t>
  </si>
  <si>
    <t>एकतरफा परीक्षण (One-tailed test) और दोतरफा परीक्षण (Two-tailed test) किसके प्रकार हैं?</t>
  </si>
  <si>
    <t>आकलन</t>
  </si>
  <si>
    <t>वर्गीकरण</t>
  </si>
  <si>
    <t>p-value यदि α से कम हो, तो हम:</t>
  </si>
  <si>
    <t>H0 को अस्वीकार करते हैं</t>
  </si>
  <si>
    <t>H0 को स्वीकार करते हैं</t>
  </si>
  <si>
    <t>कोई निर्णय नहीं लेते</t>
  </si>
  <si>
    <t>परीक्षण दोहराते हैं</t>
  </si>
  <si>
    <t>सांख्यिकीय गुणवत्ता नियंत्रण (SQC) में नियंत्रण चार्ट का उपयोग क्यों किया जाता है?</t>
  </si>
  <si>
    <t>प्रक्रिया भिन्नता की निगरानी के लिए</t>
  </si>
  <si>
    <t>लागत कम करने के लिए</t>
  </si>
  <si>
    <t>कर्मचारियों की निगरानी के लिए</t>
  </si>
  <si>
    <t>X-bar चार्ट और R चार्ट किसके लिए उपयोग किए जाते हैं?</t>
  </si>
  <si>
    <t>चर (Variables) के लिए</t>
  </si>
  <si>
    <t>गुणों (Attributes) के लिए</t>
  </si>
  <si>
    <t>दोनों के लिए</t>
  </si>
  <si>
    <t>किसी के लिए नहीं</t>
  </si>
  <si>
    <t>p-चार्ट और c-चार्ट किसके लिए उपयोग किए जाते हैं?</t>
  </si>
  <si>
    <t>चर के लिए</t>
  </si>
  <si>
    <t>"छह सिग्मा" (Six Sigma) गुणवत्ता स्तर का अर्थ है:</t>
  </si>
  <si>
    <t>3.4 दोष प्रति मिलियन अवसर</t>
  </si>
  <si>
    <t>शून्य दोष</t>
  </si>
  <si>
    <t>1% दोष</t>
  </si>
  <si>
    <t>10% दोष</t>
  </si>
  <si>
    <t>महत्वपूर्ण सांख्यिकी (Vital Statistics) संबंधित है:</t>
  </si>
  <si>
    <t>जन्म और मृत्यु से</t>
  </si>
  <si>
    <t>व्यापार से</t>
  </si>
  <si>
    <t>खेल से</t>
  </si>
  <si>
    <t>शिक्षा से</t>
  </si>
  <si>
    <t>अशोधित मृत्यु दर (CDR) का सूत्र है:</t>
  </si>
  <si>
    <t>(D/P) × 1000</t>
  </si>
  <si>
    <t>(D/P) × 100</t>
  </si>
  <si>
    <t>D/P</t>
  </si>
  <si>
    <t>(B/P) × 1000</t>
  </si>
  <si>
    <t>जन्म दर (Birth Rate) आमतौर पर प्रति कितने व्यक्तियों पर व्यक्त की जाती है?</t>
  </si>
  <si>
    <t>प्रजनन दर (Fertility Rate) किससे संबंधित है?</t>
  </si>
  <si>
    <t>केवल महिलाओं से</t>
  </si>
  <si>
    <t>केवल पुरुषों से</t>
  </si>
  <si>
    <t>पूरी जनसंख्या से</t>
  </si>
  <si>
    <t>बच्चों से</t>
  </si>
  <si>
    <t>केवल महिलाओं से (प्रजनन आयु वर्ग)</t>
  </si>
  <si>
    <t>जीवन प्रत्याशा (Life Expectancy) का अर्थ है:</t>
  </si>
  <si>
    <t>औसत आयु</t>
  </si>
  <si>
    <t>अधिकतम आयु</t>
  </si>
  <si>
    <t>न्यूनतम आयु</t>
  </si>
  <si>
    <t>सेवानिवृत्ति आयु</t>
  </si>
  <si>
    <t>जीवन सारणी (Life Table) का मुख्य कार्य क्या है?</t>
  </si>
  <si>
    <t>मृत्यु दर मापना</t>
  </si>
  <si>
    <t>जन्म दर मापना</t>
  </si>
  <si>
    <t>जीवन प्रत्याशा मापना</t>
  </si>
  <si>
    <t>जनसंख्या वृद्धि मापना</t>
  </si>
  <si>
    <t>जनसंख्या वृद्धि दर का सूत्र है:</t>
  </si>
  <si>
    <t>(जन्म दर - मृत्यु दर) + प्रवासन</t>
  </si>
  <si>
    <t>जन्म दर - मृत्यु दर</t>
  </si>
  <si>
    <t>जन्म दर / मृत्यु दर</t>
  </si>
  <si>
    <t>जन्म दर + मृत्यु दर</t>
  </si>
  <si>
    <t>(जन्म दर - मृत्यु दर) + प्रवासन (Net Migration)</t>
  </si>
  <si>
    <t>राष्ट्रीय आय (National Income) का आकलन भारत में कौन करता है?</t>
  </si>
  <si>
    <t>NSO (पूर्व में CSO)</t>
  </si>
  <si>
    <t>RBI</t>
  </si>
  <si>
    <t>वित्त मंत्रालय</t>
  </si>
  <si>
    <t>नीति आयोग</t>
  </si>
  <si>
    <t>सकल घरेलू उत्पाद (GDP) क्या है?</t>
  </si>
  <si>
    <t>देश की सीमा के भीतर उत्पादित अंतिम वस्तुओं और सेवाओं का मूल्य</t>
  </si>
  <si>
    <t>देश के नागरिकों द्वारा उत्पादित मूल्य</t>
  </si>
  <si>
    <t>सरकारी खर्च</t>
  </si>
  <si>
    <t>कुल निर्यात</t>
  </si>
  <si>
    <t>उपभोक्ता मूल्य सूचकांक (CPI) किसके लिए उपयोग किया जाता है?</t>
  </si>
  <si>
    <t>महंगाई (मुद्रास्फीति) मापने के लिए</t>
  </si>
  <si>
    <t>उत्पादन मापने के लिए</t>
  </si>
  <si>
    <t>बेरोजगारी मापने के लिए</t>
  </si>
  <si>
    <t>गरीबी मापने के लिए</t>
  </si>
  <si>
    <t>थोक मूल्य सूचकांक (WPI) में किसे शामिल नहीं किया जाता?</t>
  </si>
  <si>
    <t>सेवाएँ</t>
  </si>
  <si>
    <t>निर्मित उत्पाद</t>
  </si>
  <si>
    <t>ईंधन</t>
  </si>
  <si>
    <t>खाद्य पदार्थ</t>
  </si>
  <si>
    <t>मानव विकास सूचकांक (HDI) के घटक हैं:</t>
  </si>
  <si>
    <t>स्वास्थ्य, शिक्षा, जीवन स्तर</t>
  </si>
  <si>
    <t>आय, व्यय, बचत</t>
  </si>
  <si>
    <t>कृषि, उद्योग, सेवा</t>
  </si>
  <si>
    <t>जन्म, मृत्यु, प्रवास</t>
  </si>
  <si>
    <t>सांख्यिकीय पैकेज (Statistical Packages) जैसे SPSS, SAS, R का उपयोग किसके लिए किया जाता है?</t>
  </si>
  <si>
    <t>डेटा विश्लेषण</t>
  </si>
  <si>
    <t>डेटा संग्रहण</t>
  </si>
  <si>
    <t>रिपोर्ट लेखन</t>
  </si>
  <si>
    <t>प्रस्तुतिकरण</t>
  </si>
  <si>
    <t>"बिग डेटा" (Big Data) की विशेषताएँ हैं (3Vs):</t>
  </si>
  <si>
    <t>Volume, Velocity, Variety</t>
  </si>
  <si>
    <t>Value, Vision, Victory</t>
  </si>
  <si>
    <t>Volume, Value, Verification</t>
  </si>
  <si>
    <t>डेटा माइनिंग (Data Mining) का अर्थ है:</t>
  </si>
  <si>
    <t>डेटा से पैटर्न और ज्ञान की खोज</t>
  </si>
  <si>
    <t>डेटा डिलीट करना</t>
  </si>
  <si>
    <t>डेटा छिपाना</t>
  </si>
  <si>
    <t>डेटा सुरक्षित करना</t>
  </si>
  <si>
    <t>कृत्रिम बुद्धिमत्ता (AI) और मशीन लर्निंग (ML) सांख्यिकी का उपयोग किस रूप में करते हैं?</t>
  </si>
  <si>
    <t>भविष्यवाणी मॉडलिंग (Predictive Modeling)</t>
  </si>
  <si>
    <t>डेटा प्रविष्टि</t>
  </si>
  <si>
    <t>कोई उपयोग नहीं</t>
  </si>
  <si>
    <t>A/B परीक्षण (A/B Testing) का उपयोग मुख्य रूप से कहाँ होता है?</t>
  </si>
  <si>
    <t>डिजिटल मार्केटिंग और वेब एनालिटिक्स</t>
  </si>
  <si>
    <t>कृषि में</t>
  </si>
  <si>
    <t>चिकित्सा में</t>
  </si>
  <si>
    <t>शिक्षा में</t>
  </si>
  <si>
    <t>"सहसंबंध कार्यकारण नहीं है" (Correlation implies causation) - यह कथन:</t>
  </si>
  <si>
    <t>हमेशा सत्य</t>
  </si>
  <si>
    <t>कभी-कभी सत्य</t>
  </si>
  <si>
    <t>असत्य है (Correlation does NOT imply causation)</t>
  </si>
  <si>
    <t>सिम्पसन का विरोधाभास (Simpson's Paradox) क्या है?</t>
  </si>
  <si>
    <t>जब समूहों में दिखने वाली प्रवृत्ति संयुक्त होने पर उलट जाती है</t>
  </si>
  <si>
    <t>जब डेटा सही हो</t>
  </si>
  <si>
    <t>जब माध्य और माध्यिका समान हों</t>
  </si>
  <si>
    <t>कोई विरोधाभास नहीं</t>
  </si>
  <si>
    <t>डेटा विज़ुअलाइज़ेशन (Data Visualization) का उद्देश्य है:</t>
  </si>
  <si>
    <t>डेटा को समझने योग्य बनाना</t>
  </si>
  <si>
    <t>डेटा को जटिल बनाना</t>
  </si>
  <si>
    <t>डेटा को छिपाना</t>
  </si>
  <si>
    <t>केवल सुंदर दिखाना</t>
  </si>
  <si>
    <t>हिस्टोग्राम और बार चार्ट में मुख्य अंतर क्या है?</t>
  </si>
  <si>
    <t>हिस्टोग्राम सतत डेटा के लिए, बार चार्ट असतत/श्रेणीबद्ध के लिए</t>
  </si>
  <si>
    <t>कोई अंतर नहीं</t>
  </si>
  <si>
    <t>बार चार्ट सतत के लिए</t>
  </si>
  <si>
    <t>हिस्टोग्राम में गैप होता है</t>
  </si>
  <si>
    <t>बॉक्स प्लॉट में बॉक्स की लंबाई क्या दर्शाती है?</t>
  </si>
  <si>
    <t>इंटरक्वार्टाइल रेंज (IQR)</t>
  </si>
  <si>
    <t>रेंज</t>
  </si>
  <si>
    <t>सांख्यिकी में 'n' सामान्यतः दर्शाता है:</t>
  </si>
  <si>
    <t>प्रतिदर्श आकार</t>
  </si>
  <si>
    <t>जनसंख्या आकार</t>
  </si>
  <si>
    <t>चरों की संख्या</t>
  </si>
  <si>
    <t>सांख्यिकी में 'N' सामान्यतः दर्शाता है:</t>
  </si>
  <si>
    <t>प्रतिदर्श सर्वेक्षण (Sample Survey) जनगणना (Census) की तुलना में है:</t>
  </si>
  <si>
    <t>कम खर्चीला और तेज़</t>
  </si>
  <si>
    <t>अधिक खर्चीला</t>
  </si>
  <si>
    <t>धीमा</t>
  </si>
  <si>
    <t>कम सटीक</t>
  </si>
  <si>
    <t>"लॉटरी विधि" (Lottery Method) किस प्रकार के प्रतिचयन का उदाहरण है?</t>
  </si>
  <si>
    <t>सरल यादृच्छिक प्रतिचयन</t>
  </si>
  <si>
    <t>स्तरीकृत प्रतिचयन</t>
  </si>
  <si>
    <t>व्यवस्थित प्रतिचयन</t>
  </si>
  <si>
    <t>कोटा प्रतिचयन</t>
  </si>
  <si>
    <t>अनुसंधान परिकल्पना (Research Hypothesis) को अक्सर किससे सूचित किया जाता है?</t>
  </si>
  <si>
    <t>H1 या Ha</t>
  </si>
  <si>
    <t>H0</t>
  </si>
  <si>
    <t>H</t>
  </si>
  <si>
    <t>R</t>
  </si>
  <si>
    <t>"डेटा को जानकारी में बदलना, और जानकारी को अंतर्दृष्टि में" - यह किसका कार्य है?</t>
  </si>
  <si>
    <t>डेटा विश्लेषण / सांख्यिकी</t>
  </si>
  <si>
    <t>कंप्यूटर हार्डवेयर</t>
  </si>
  <si>
    <t>नेटवर्किंग</t>
  </si>
  <si>
    <t>निश्चित घटना की प्रायिकता कितनी होती है?</t>
  </si>
  <si>
    <t>असंभव घटना की प्रायिकता क्या होती है?</t>
  </si>
  <si>
    <t>किसी घटना E के लिए P(E) + P(E') का मान क्या होगा?</t>
  </si>
  <si>
    <t>निम्न में से कौन किसी घटना की प्रायिकता नहीं हो सकती है?</t>
  </si>
  <si>
    <t>प्रायिकता का अधिकतम मान क्या होता है?</t>
  </si>
  <si>
    <t>एक पासा फेंकने पर 5 आने की प्रायिकता क्या है?</t>
  </si>
  <si>
    <t>एक पासा फेंकने पर एक सम संख्या आने की प्रायिकता क्या है?</t>
  </si>
  <si>
    <t>एक पासा फेंकने पर 4 से बड़ी संख्या आने की प्रायिकता क्या है?</t>
  </si>
  <si>
    <t>एक पासा फेंकने पर अभाज्य संख्या (Prime Number) आने की प्रायिकता क्या है?</t>
  </si>
  <si>
    <t>दो पासों को एक साथ फेंकने पर दोनों पर समान अंक (Doublet) आने की प्रायिकता क्या है?</t>
  </si>
  <si>
    <t>1/36</t>
  </si>
  <si>
    <t>5/36</t>
  </si>
  <si>
    <t>दो पासों को एक साथ फेंकने पर अंकों का योग 10 होने की प्रायिकता क्या है?</t>
  </si>
  <si>
    <t>ताश के 52 पत्तों की गड्डी से एक पत्ता निकाला जाता है, इसके लाल रंग का रानी होने की प्रायिकता है?</t>
  </si>
  <si>
    <t>1/13</t>
  </si>
  <si>
    <t>3/13</t>
  </si>
  <si>
    <t>1/26</t>
  </si>
  <si>
    <t>2/13</t>
  </si>
  <si>
    <t>52 पत्तों की गड्डी से एक पत्ता निकाला जाता है, इसके काला पान (Spade) होने की प्रायिकता क्या है?</t>
  </si>
  <si>
    <t>52 पत्तों की गड्डी से एक इक्का (Ace) निकालने की प्रायिकता क्या है?</t>
  </si>
  <si>
    <t>1/52</t>
  </si>
  <si>
    <t>4/13</t>
  </si>
  <si>
    <t>ताश की गड्डी में कुल फेस कार्ड (तस्वीर वाले पत्ते) कितने होते हैं?</t>
  </si>
  <si>
    <t>एक तस्वीर वाला पत्ता (Face Card) निकालने की प्रायिकता क्या है?</t>
  </si>
  <si>
    <t>52 पत्तों में से लाल रंग का तस्वीर वाला पत्ता निकालने की प्रायिकता क्या है?</t>
  </si>
  <si>
    <t>3/26</t>
  </si>
  <si>
    <t>एक सिक्के को एक बार उछालने पर चित (Head) आने की प्रायिकता क्या है?</t>
  </si>
  <si>
    <t>दो सिक्कों को एक साथ उछालने पर कम से कम एक चित (Head) आने की प्रायिकता है?</t>
  </si>
  <si>
    <t>दो सिक्कों को उछालने पर दोनों पर पट (Tail) आने की प्रायिकता क्या है?</t>
  </si>
  <si>
    <t>तीन सिक्कों को उछालने पर कम से कम दो चित आने की प्रायिकता क्या है?</t>
  </si>
  <si>
    <t>एक थैले में 3 नीली, 2 सफेद और 4 लाल गेंदे हैं। एक गेंद निकालने पर उसके नीली होने की प्रायिकता क्या है?</t>
  </si>
  <si>
    <t>एक थैले में 8 लाल, 2 काली और 5 सफेद गेंदें हैं। एक गेंद निकालने पर उसके काला न होने की प्रायिकता क्या है?</t>
  </si>
  <si>
    <t>2/15</t>
  </si>
  <si>
    <t>13/15</t>
  </si>
  <si>
    <t>8/15</t>
  </si>
  <si>
    <t>निम्न में से कौन सी संख्या किसी घटना की प्रायिकता हो सकती है?</t>
  </si>
  <si>
    <t>यदि P(E) = 0.05 है, तो P(E नहीं) का मान क्या है?</t>
  </si>
  <si>
    <t>एक पासा फेंकने पर 8 से छोटी संख्या आने की प्रायिकता क्या है?</t>
  </si>
  <si>
    <t>3 सही सिक्कों को उछाला जाता है, कम से कम एक हेड (Head) आने की प्रायिकता क्या है?</t>
  </si>
  <si>
    <t>अच्छी तरह से फेंटी गई ताश की गड्डी में से एक पत्ता निकाला जाता है, इसके बादशाह होने की प्रायिकता क्या है?</t>
  </si>
  <si>
    <t>किसी घटना की प्रायिकता का न्यूनतम मान होता है?</t>
  </si>
  <si>
    <t>ताश के पत्तों में लाल रंग का बादशाह कितने होते हैं?</t>
  </si>
  <si>
    <t>एक पासा फेंकने पर विषम संख्या प्राप्त नहीं होने की प्रायिकता क्या है?</t>
  </si>
  <si>
    <t>यदि एक मैच जीतने की प्रायिकता 0.7 है, तो इसके हारने की प्रायिकता क्या होगी?</t>
  </si>
  <si>
    <t>52 पत्तों की गड्डी से एक पत्ता निकाला जाता है, तो उसके हुकुम का इक्का होने की प्रायिकता क्या है?</t>
  </si>
  <si>
    <t>एक थैले में 5 लाल और 4 नीली गेंदे हैं। लाल गेंद निकालने की प्रायिकता क्या है?</t>
  </si>
  <si>
    <t>दो पासों को एक साथ फेंकने पर दोनों पर समान अंक आने की प्रायिकता है?</t>
  </si>
  <si>
    <t>एक लाटरी में 8 पुरस्कार और 16 खाली हैं। एक पुरस्कार पाने की प्रायिकता क्या है?</t>
  </si>
  <si>
    <t>किसी प्रयोग की सभी प्रारंभिक घटनाओं की प्रायिकताओं का योग कितना होता है?</t>
  </si>
  <si>
    <t>एक पासे को फेंकने पर 3 का गुणज आने की प्रायिकता क्या है?</t>
  </si>
  <si>
    <t>ताश की गड्डी में 'लाल पान' (Hearts) के कितने पत्ते होते हैं?</t>
  </si>
  <si>
    <t>दो सिक्कों को उछालने पर ठीक एक चित (Exactly one Head) आने की प्रायिकता क्या है?</t>
  </si>
  <si>
    <t>एक थैले में 9 लाल, 10 हरी और 7 सफेद गेंदे हैं। एक गेंद निकालने पर न लाल और न सफेद होने की प्रायिकता क्या है?</t>
  </si>
  <si>
    <t>9/26</t>
  </si>
  <si>
    <t>7/26</t>
  </si>
  <si>
    <t>5/13</t>
  </si>
  <si>
    <t>10/27</t>
  </si>
  <si>
    <t>यदि P(A) घटना A की प्रायिकता को दर्शाता है, तो P(A) का मान हमेशा होता है:</t>
  </si>
  <si>
    <t>0 से छोटा</t>
  </si>
  <si>
    <t>1 से बड़ा</t>
  </si>
  <si>
    <t>0 और 1 के बीच (सहित)</t>
  </si>
  <si>
    <t>-1 और 1 के बीच</t>
  </si>
  <si>
    <t>एक लीप वर्ष (Leap Year) में 53 रविवार होने की प्रायिकता क्या है?</t>
  </si>
  <si>
    <t>53/366</t>
  </si>
  <si>
    <t>1/53</t>
  </si>
  <si>
    <t>ताश के पत्तों में 'ईंट की बेगम' (Queen of Diamonds) की प्रायिकता क्या है?</t>
  </si>
  <si>
    <t>4/52</t>
  </si>
  <si>
    <t>1 से 100 तक की संख्याओं में से एक संख्या चुनी जाती है, उसके अभाज्य होने की प्रायिकता क्या है?</t>
  </si>
  <si>
    <t>6/25</t>
  </si>
  <si>
    <t>निम्न में से कौन सी घटना की प्रायिकता नहीं हो सकती?</t>
  </si>
  <si>
    <t>दो पासों को फेंकने पर योग 8 आने की प्रायिकता क्या है?</t>
  </si>
  <si>
    <t>अंग्रेजी वर्णमाला के एक अक्षर को यादृच्छिक रूप से चुना जाता है, उसके स्वर (Vowel) होने की प्रायिकता क्या है?</t>
  </si>
  <si>
    <t>5/26</t>
  </si>
  <si>
    <t>21/26</t>
  </si>
  <si>
    <t>एक असंभव घटना की प्रायिकता और एक निश्चित घटना की प्रायिकता का अंतर क्या है?</t>
  </si>
  <si>
    <t>यदि तीन सिक्कों को एक साथ उछाला जाता है, तो तीनों पर पट (Tail) आने की प्रायिकता क्या है?</t>
  </si>
  <si>
    <t>एक पासा फेंकने पर 3 से विभाज्य संख्या (Multiple of 3) आने की प्रायिकता क्या है?,</t>
  </si>
  <si>
    <t>एक पासा फेंकने पर 2 और 6 के बीच की संख्या आने की प्रायिकता है?</t>
  </si>
  <si>
    <t>दो पासों को एक साथ फेंकने पर दोनों पर विषम संख्या आने की प्रायिकता क्या है?,</t>
  </si>
  <si>
    <t>दो पासों को फेंकने पर अंकों का योग 7 होने की प्रायिकता क्या है?</t>
  </si>
  <si>
    <t>दो पासों को फेंकने पर अंकों का योग 13 होने की प्रायिकता क्या है?</t>
  </si>
  <si>
    <t>1/18</t>
  </si>
  <si>
    <t>दो पासों को फेंकने पर अंकों का योग 11 से अधिक होने की प्रायिकता क्या है?</t>
  </si>
  <si>
    <t>दो पासों को एक साथ फेंकने पर केवल 5 का योग (Sum = 5) आने की प्रायिकता क्या है?</t>
  </si>
  <si>
    <t>एक पासा फेंकने पर पूर्ण वर्ग संख्या (Perfect Square: 1, 4) आने की प्रायिकता क्या है?</t>
  </si>
  <si>
    <t>52 पत्तों की गड्डी में से एक पत्ता खींचने पर 'लाल पान का इक्का' (Ace of Hearts) आने की प्रायिकता क्या है?</t>
  </si>
  <si>
    <t>ताश की गड्डी में 'ईंट' (Diamond) के कितने पत्ते होते हैं?</t>
  </si>
  <si>
    <t>52 पत्तों में से एक पत्ता निकालने पर उसके लाल रंग का 'फेस कार्ड' होने की प्रायिकता क्या है?</t>
  </si>
  <si>
    <t>6/13</t>
  </si>
  <si>
    <t>52 पत्तों में से 'हुकुम' (Spade) का पत्ता न होने की प्रायिकता क्या है?,</t>
  </si>
  <si>
    <t>ताश के पत्तों में 'सम्मान कार्ड' (Honor Cards: A, K, Q, J) की कुल संख्या कितनी होती है?</t>
  </si>
  <si>
    <t>अच्छी तरह फेंटी गई गड्डी से एक पत्ता निकालने पर 'काला पान की बेगम' आने की प्रायिकता है?</t>
  </si>
  <si>
    <t>यदि ताश की गड्डी से सभी बादशाह (Kings) हटा दिए जाएं, तो एक पत्ता निकालने पर उसके इक्का होने की प्रायिकता क्या होगी? (शेष पत्ते = 48)</t>
  </si>
  <si>
    <t>4/48</t>
  </si>
  <si>
    <t>दो सिक्कों को उछालने पर 'कम से कम एक पट' (At least one Tail) आने की प्रायिकता क्या है?</t>
  </si>
  <si>
    <t>दो सिक्कों को उछालने पर 'अधिकतम एक चित' (At most one Head) आने की प्रायिकता क्या है?</t>
  </si>
  <si>
    <t>तीन सिक्कों को एक साथ उछालने पर 'ठीक दो चित' (Exactly two Heads) आने की प्रायिकता क्या है?</t>
  </si>
  <si>
    <t>तीन सिक्कों को उछालने पर 'तीनों पर समान परिणाम' (HHH या TTT) आने की प्रायिकता क्या है?</t>
  </si>
  <si>
    <t>एक सिक्का उछाला जाता है और एक पासा फेंका जाता है, तो (H, 6) आने की प्रायिकता क्या है?</t>
  </si>
  <si>
    <t>एक थैले में 5 लाल और 3 काली गेंदें हैं। बिना देखे दो गेंदें निकालने पर दोनों के लाल होने की प्रायिकता क्या है? (प्रतिस्थापन के साथ)</t>
  </si>
  <si>
    <t>25/64</t>
  </si>
  <si>
    <t>15/64</t>
  </si>
  <si>
    <t>अंग्रेजी शब्द 'MATHEMATICS' से एक अक्षर चुना जाता है, उसके 'M' होने की प्रायिकता क्या है?</t>
  </si>
  <si>
    <t>अंग्रेजी शब्द 'ASSASSINATION' से एक स्वर (Vowel) चुनने की प्रायिकता क्या है? (कुल अक्षर=13, स्वर=6)</t>
  </si>
  <si>
    <t>7/13</t>
  </si>
  <si>
    <t>1 से 25 तक की संख्याओं में से एक संख्या चुनने पर उसके 5 का गुणज होने की प्रायिकता क्या है?</t>
  </si>
  <si>
    <t>1/25</t>
  </si>
  <si>
    <t>4/25</t>
  </si>
  <si>
    <t>एक साधारण वर्ष (Non-Leap Year) में 53 रविवार होने की प्रायिकता क्या है?</t>
  </si>
  <si>
    <t>1/365</t>
  </si>
  <si>
    <t>यदि P(E) = 0.08 है, तो 'E नहीं' की प्रायिकता क्या होगी?</t>
  </si>
  <si>
    <t>निम्न में से कौन सी प्रायिकता 1 से अधिक नहीं हो सकती? (शर्त जांचें)</t>
  </si>
  <si>
    <t>एक बॉक्स में 3 नीले, 2 सफेद और 4 लाल कंचे हैं। एक कंचा सफेद होने की प्रायिकता है?</t>
  </si>
  <si>
    <t>उसी बॉक्स (3 नीले, 2 सफेद, 4 लाल) से नीले कंचे के 'न' होने की प्रायिकता क्या है?</t>
  </si>
  <si>
    <t>100 टिकटों पर 1 से 100 तक संख्याएं लिखी हैं। एक टिकट निकालने पर पूर्ण घन (Perfect Cube: 1, 8, 27, 64) संख्या आने की प्रायिकता है?</t>
  </si>
  <si>
    <t>4/100</t>
  </si>
  <si>
    <t>1/20</t>
  </si>
  <si>
    <t>3/100</t>
  </si>
  <si>
    <t>ताश की गड्डी में कुल कितने 'इक्के' (Aces) होते हैं?</t>
  </si>
  <si>
    <t>यदि P(A) + P(B) = 1 है और P(A ∩ B) = 0 है, तो A और B कैसी घटनाएं हैं?</t>
  </si>
  <si>
    <t>स्वतंत्र</t>
  </si>
  <si>
    <t>पूरक (Complementary)</t>
  </si>
  <si>
    <t>असंभव</t>
  </si>
  <si>
    <t>निश्चित</t>
  </si>
  <si>
    <t>एक पासे को फेंकने पर 4 से कम संख्या आने की प्रायिकता क्या है? (1, 2, 3)</t>
  </si>
  <si>
    <t>दो पासों को फेंकने पर योग 12 आने की प्रायिकता क्या है? (केवल 6,6)</t>
  </si>
  <si>
    <t>ताश के पत्तों में से लाल रंग का अंक वाला पत्ता (Number Card) निकालने की प्रायिकता क्या है? (लाल अंक कार्ड = 18)</t>
  </si>
  <si>
    <t>9/13</t>
  </si>
  <si>
    <t>यदि तीन सिक्कों को उछाला जाए, तो 'कोई भी चित नहीं' (No Head) आने की प्रायिकता क्या है?</t>
  </si>
  <si>
    <t>एक थैले में 5 नींबू की महक वाली गोलियां हैं। एक गोली निकालने पर संतरे की महक वाली गोली निकलने की प्रायिकता क्या है?</t>
  </si>
  <si>
    <t>एक निश्चित घटना और एक असंभव घटना की प्रायिकताओं का गुणनफल क्या होता है?</t>
  </si>
  <si>
    <t>अपरिभाषित</t>
  </si>
  <si>
    <t>दो मित्रों का जन्मदिन एक ही दिन होने की प्रायिकता क्या है (लीप वर्ष को छोड़कर)?</t>
  </si>
  <si>
    <t>2/365</t>
  </si>
  <si>
    <t>364/365</t>
  </si>
  <si>
    <t>दो मित्रों का जन्मदिन अलग-अलग दिनों में होने की प्रायिकता क्या है (साधारण वर्ष)?</t>
  </si>
  <si>
    <t>एक पासा फेंकने पर सम अभाज्य संख्या (Even Prime Number) आने की प्रायिकता क्या है? (केवल 2)</t>
  </si>
  <si>
    <t>ताश के 52 पत्तों में से एक पत्ता खो जाता है। शेष पत्तों से दो पत्ते निकालने पर दोनों के ईंट होने की प्रायिकता... (यह एक उच्च स्तरीय प्रश्न है, 10वीं के लिए सरल रूप: 52 में से 1 पत्ता निकालने पर उसके लाल न होने की प्रायिकता?)</t>
  </si>
  <si>
    <t>यदि P(E) = 0.005 है, तो P(E नहीं) क्या है?</t>
  </si>
  <si>
    <t>संख्याओं 1, 2, 3, ..., 15 से एक संख्या चुनने पर उसके 4 का गुणज होने की प्रायिकता है? (4, 8, 12)</t>
  </si>
  <si>
    <t>3/15</t>
  </si>
  <si>
    <t>4/15</t>
  </si>
  <si>
    <t>एक डिब्बे में 8 लाल, 2 नीले कांच की गोलियां हैं। एक गोली नीली निकालने की प्रायिकता क्या है?</t>
  </si>
  <si>
    <t>52 पत्तों में से एक 'काला बादशाह' (Black King) निकालने की प्रायिकता क्या है?</t>
  </si>
  <si>
    <t>2/52</t>
  </si>
  <si>
    <t>एक सिक्के को 3 बार उछालने पर ठीक एक चित (Exactly one Head) आने की प्रायिकता क्या है? (HTT, THT, TTH)</t>
  </si>
  <si>
    <t>दो पासों को फेंकने पर अंकों का गुणनफल 12 होने की प्रायिकता क्या है? (2,6; 3,4; 4,3; 6,2)</t>
  </si>
  <si>
    <t>4/36</t>
  </si>
  <si>
    <t>निम्न में से कौन सी घटना की प्रायिकता 20% के बराबर है?</t>
  </si>
  <si>
    <t>शब्द 'PROBABILITY' से एक अक्षर चुनने पर उसके स्वर (Vowel) होने की प्रायिकता क्या है? (O, A, I, I)</t>
  </si>
  <si>
    <t>यदि एक खेल में जीतने की प्रायिकता 5/6 है, तो हारने की प्रायिकता क्या है?</t>
  </si>
  <si>
    <t>एक थैले में कार्ड हैं जिन पर 2, 3, 4 ... 11 संख्याएँ अंकित हैं। एक कार्ड निकालने पर अभाज्य संख्या आने की प्रायिकता है? (2,3,5,7,11)</t>
  </si>
  <si>
    <t>एक पासे को फेंकने पर विषम भाज्य संख्या (Odd Composite Number: 9 पासे में नहीं होता, अतः कोई नहीं) आने की प्रायिकता? (पासे में केवल 4, 6 भाज्य हैं जो सम हैं)</t>
  </si>
  <si>
    <t>ताश की गड्डी में 'चित्र वाले पत्ते' (Face Cards) और 'इक्के' (Aces) मिलाकर कुल कितने पत्ते होते हैं?</t>
  </si>
  <si>
    <t>एक पासे को फेंकने पर 2 का गुणज आने की प्रायिकता क्या है? (2, 4, 6)</t>
  </si>
  <si>
    <t>दो पासों को फेंकने पर दोनों पर एक ही अंक (Doublet: 1,1; 2,2...) न आने की प्रायिकता क्या है?</t>
  </si>
  <si>
    <t>30/36</t>
  </si>
  <si>
    <t>एक अच्छी तरह से फेंटी गई ताश की गड्डी से 'हुकुम का गुलाम' (Jack of Spades) निकालने की प्रायिकता क्या है?</t>
  </si>
  <si>
    <t>एक बक्से में 100 पेन हैं जिनमें से 10 खराब हैं। एक पेन निकालने पर उसके सही (Non-defective) होने की प्रायिकता क्या है?</t>
  </si>
  <si>
    <t>90/100</t>
  </si>
  <si>
    <t>52 पत्तों में से लाल रंग का 10 (Red Ten) निकालने की प्रायिकता क्या है? (ईंट का 10, पान का 10)</t>
  </si>
  <si>
    <t>1 से 10 तक की संख्याओं में से एक सम संख्या चुनने की प्रायिकता क्या है?</t>
  </si>
  <si>
    <t>किसी घटना E के लिए, यदि P(E) = q है, तो P(E नहीं) क्या होगा?</t>
  </si>
  <si>
    <t>1 - q</t>
  </si>
  <si>
    <t>1 + q</t>
  </si>
  <si>
    <t>q - 1</t>
  </si>
  <si>
    <t>1/q</t>
  </si>
  <si>
    <t>ताश के पत्तों में 'पान' (Hearts) और 'ईंट' (Diamonds) दोनों का रंग कैसा होता है?</t>
  </si>
  <si>
    <t>लाल</t>
  </si>
  <si>
    <t>काला</t>
  </si>
  <si>
    <t>नीला</t>
  </si>
  <si>
    <t>हरा</t>
  </si>
  <si>
    <t>यदि दो पासों को फेंका जाता है, तो योग 2 आने की प्रायिकता क्या है? (केवल 1,1)</t>
  </si>
  <si>
    <t>एक थैले में 3 लाल और 5 काली गेंदे हैं। लाल गेंद न निकालने की प्रायिकता क्या है?</t>
  </si>
  <si>
    <t>निम्न में से कौन सी घटना की प्रायिकता 100% के बराबर है?</t>
  </si>
  <si>
    <t>निश्चित घटना</t>
  </si>
  <si>
    <t>असंभव घटना</t>
  </si>
  <si>
    <t>पूरक घटना</t>
  </si>
  <si>
    <t>ताश के 52 पत्तों में से काले रंग का 'इक्का' निकालने की प्रायिकता क्या है?</t>
  </si>
  <si>
    <t>एक लीप वर्ष में फरवरी माह में 5 रविवार होने की प्रायिकता क्या है?</t>
  </si>
  <si>
    <t>एक पासा फेंकने पर संख्या 6 आने की प्रायिकता क्या है?</t>
  </si>
  <si>
    <t>दो सिक्कों को उछालने पर 'कोई चित नहीं' (No Head) आने की प्रायिकता क्या है? (TT)</t>
  </si>
  <si>
    <t>एक घटना की प्रायिकता 3/4 है, तो यह किस प्रकार की घटना है?</t>
  </si>
  <si>
    <t>संभव</t>
  </si>
  <si>
    <t>52 पत्तों में से 'बादशाह' (King) या 'बेगम' (Queen) निकालने की प्रायिकता क्या है? (4+4=8)</t>
  </si>
  <si>
    <t>8/52</t>
  </si>
  <si>
    <t>एक पासे में 'अभाज्य संख्या' और 'सम संख्या' दोनों होने वाली संख्या कौन सी है?</t>
  </si>
  <si>
    <t>1 से 20 तक के टिकटों में से 3 के गुणज वाला टिकट निकालने की प्रायिकता क्या है? (3,6,9,12,15,18)</t>
  </si>
  <si>
    <t>6/20</t>
  </si>
  <si>
    <t>यदि P(E) + P(E') = x है, तो x का मान है?</t>
  </si>
  <si>
    <t>&gt;1</t>
  </si>
  <si>
    <t>&lt;1</t>
  </si>
  <si>
    <t>ताश की गड्डी में कुल कितने 'लाल रंग' के पत्ते होते हैं?</t>
  </si>
  <si>
    <t>दो पासों को फेंकने पर अंकों का अंतर 0 होने की प्रायिकता क्या है? (Same numbers: 1,1; 2,2...)</t>
  </si>
  <si>
    <t>एक थैले में 4 लाल, 5 काली और 3 पीली गेंदे हैं। पीली गेंद निकालने की प्रायिकता है?</t>
  </si>
  <si>
    <t>52 पत्तों में से 'चिड़ी' (Club) का पत्ता निकालने की प्रायिकता क्या है?</t>
  </si>
  <si>
    <t>13/52</t>
  </si>
  <si>
    <t>एक सिक्के को दो बार उछालने पर अधिक से अधिक 2 पट आने की प्रायिकता?</t>
  </si>
  <si>
    <t>यदि किसी घटना के होने की प्रायिकता p है, तो उसके न होने की प्रायिकता क्या होगी?</t>
  </si>
  <si>
    <t>1-p</t>
  </si>
  <si>
    <t>p-1</t>
  </si>
  <si>
    <t>1+p</t>
  </si>
  <si>
    <t>1 से 100 तक चुनी गई संख्या के 10 का गुणज होने की प्रायिकता क्या है? (10, 20...100)</t>
  </si>
  <si>
    <t>10/100</t>
  </si>
  <si>
    <t>एक पासा फेंकने पर संख्या 7 आने की प्रायिकता क्या है?</t>
  </si>
  <si>
    <t>दो पासों को फेंकने पर योग 10 या उससे अधिक आने की प्रायिकता क्या है? (4,6; 5,5; 6,4; 5,6; 6,5; 6,6)</t>
  </si>
  <si>
    <t>6/36</t>
  </si>
  <si>
    <t>ताश के पत्तों में 'फेस कार्ड' (तस्वीर वाले) की प्रायिकता दशमलव में कितनी होती है? (12/52)</t>
  </si>
  <si>
    <t>एक थैले में 1 से 5 तक अंकित कार्ड हैं। एक कार्ड निकालने पर विषम संख्या आने की प्रायिकता है? (1, 3, 5)</t>
  </si>
  <si>
    <t>52 पत्तों में से 'पान का गुलाम' (Jack of Hearts) निकालने की प्रायिकता क्या है?</t>
  </si>
  <si>
    <t>3 सिक्कों को उछालने पर ठीक एक पट (Exactly one Tail) आने की प्रायिकता क्या है? (HHT, HTH, THH)</t>
  </si>
  <si>
    <t>यदि P(E) = 1 है, तो E कैसी घटना है?</t>
  </si>
  <si>
    <t>1 से 15 तक की पर्चियों में से 3 से विभाज्य संख्या चुनने की प्रायिकता है? (3, 6, 9, 12, 15)</t>
  </si>
  <si>
    <t>5/15</t>
  </si>
  <si>
    <t>एक पासे को फेंकने पर 1 या 6 आने की प्रायिकता क्या है?</t>
  </si>
  <si>
    <t>दो पासों को फेंकने पर योग 3 आने की प्रायिकता क्या है? (1,2; 2,1)</t>
  </si>
  <si>
    <t>2/36</t>
  </si>
  <si>
    <t>52 पत्तों में से एक पत्ता खींचने पर उसके 'इक्का' या 'बादशाह' होने की प्रायिकता क्या है?</t>
  </si>
  <si>
    <t>एक असंभव घटना की प्रायिकता प्रतिशत में कितनी होती है?</t>
  </si>
  <si>
    <t>एक थैले में 6 सफेद और 4 लाल गेंदे हैं। सफेद गेंद निकालने की प्रायिकता क्या है?</t>
  </si>
  <si>
    <t>एक सिक्के को उछालने पर न तो चित और न ही पट आने की प्रायिकता क्या है?</t>
  </si>
  <si>
    <t>ताश के पत्तों में 'लाल रंग का गुलाम' कितने होते हैं? (पान और ईंट)</t>
  </si>
  <si>
    <t>100 छात्रों की कक्षा में 40 लड़के हैं। एक छात्र चुनने पर उसके लड़की होने की प्रायिकता क्या है?</t>
  </si>
  <si>
    <t>60/100</t>
  </si>
  <si>
    <t>दो पासों को फेंकने पर दोनों पर अभाज्य संख्या आने की प्रायिकता क्या है? (2,2; 2,3; 2,5; 3,2; 3,3; 3,5; 5,2; 5,3; 5,5)</t>
  </si>
  <si>
    <t>9/36</t>
  </si>
  <si>
    <t>एक बॉक्स में कार्ड 2 से 101 तक हैं। एक कार्ड चुनने पर पूर्ण वर्ग संख्या आने की प्रायिकता है? (4, 9, ..., 100)</t>
  </si>
  <si>
    <t>9/100</t>
  </si>
  <si>
    <t>ताश के 52 पत्तों में से 'लाल रंग का इक्का' निकालने की प्रायिकता क्या है?</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</si>
</sst>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
    <numFmt numFmtId="165" formatCode="yyyy, m, d"/>
    <numFmt numFmtId="166" formatCode="d, m"/>
    <numFmt numFmtId="167" formatCode="hh:mm"/>
    <numFmt numFmtId="168" formatCode="d, m, yy"/>
    <numFmt numFmtId="169" formatCode="d, m, yyyy"/>
    <numFmt numFmtId="170" formatCode="[hh]:mm:ss"/>
    <numFmt numFmtId="171" formatCode="hh:mm:ss"/>
    <numFmt numFmtId="172" formatCode="d-m"/>
  </numFmts>
  <fonts count="2">
    <font>
      <sz val="10.0"/>
      <color rgb="FF000000"/>
      <name val="Arial"/>
      <scheme val="minor"/>
    </font>
    <font>
      <sz val="11.0"/>
      <color rgb="FF303030"/>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65" xfId="0" applyAlignment="1" applyFont="1" applyNumberFormat="1">
      <alignment readingOrder="0"/>
    </xf>
    <xf borderId="0" fillId="2" fontId="1" numFmtId="166" xfId="0" applyAlignment="1" applyFont="1" applyNumberFormat="1">
      <alignment readingOrder="0"/>
    </xf>
    <xf borderId="0" fillId="2" fontId="1" numFmtId="0" xfId="0" applyFont="1"/>
    <xf borderId="0" fillId="2" fontId="1" numFmtId="167" xfId="0" applyAlignment="1" applyFont="1" applyNumberFormat="1">
      <alignment readingOrder="0"/>
    </xf>
    <xf borderId="0" fillId="2" fontId="1" numFmtId="168" xfId="0" applyAlignment="1" applyFont="1" applyNumberFormat="1">
      <alignment readingOrder="0"/>
    </xf>
    <xf borderId="0" fillId="2" fontId="1" numFmtId="169" xfId="0" applyAlignment="1" applyFont="1" applyNumberFormat="1">
      <alignment readingOrder="0"/>
    </xf>
    <xf borderId="0" fillId="2" fontId="1" numFmtId="49" xfId="0" applyAlignment="1" applyFont="1" applyNumberFormat="1">
      <alignment readingOrder="0"/>
    </xf>
    <xf borderId="0" fillId="2" fontId="1" numFmtId="170" xfId="0" applyAlignment="1" applyFont="1" applyNumberFormat="1">
      <alignment readingOrder="0"/>
    </xf>
    <xf borderId="0" fillId="2" fontId="1" numFmtId="49" xfId="0" applyFont="1" applyNumberFormat="1"/>
    <xf quotePrefix="1" borderId="0" fillId="2" fontId="1" numFmtId="0" xfId="0" applyAlignment="1" applyFont="1">
      <alignment readingOrder="0"/>
    </xf>
    <xf borderId="0" fillId="2" fontId="1" numFmtId="9" xfId="0" applyAlignment="1" applyFont="1" applyNumberFormat="1">
      <alignment readingOrder="0"/>
    </xf>
    <xf borderId="0" fillId="2" fontId="1" numFmtId="171" xfId="0" applyAlignment="1" applyFont="1" applyNumberFormat="1">
      <alignment readingOrder="0"/>
    </xf>
    <xf borderId="0" fillId="2" fontId="1" numFmtId="10" xfId="0" applyAlignment="1" applyFont="1" applyNumberFormat="1">
      <alignment readingOrder="0"/>
    </xf>
    <xf borderId="0" fillId="2" fontId="1" numFmtId="17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v>1.0</v>
      </c>
      <c r="E2" s="1">
        <v>2.0</v>
      </c>
      <c r="F2" s="1">
        <v>3.0</v>
      </c>
      <c r="G2" s="1">
        <v>0.0</v>
      </c>
      <c r="H2" s="1" t="s">
        <v>4</v>
      </c>
    </row>
    <row r="3">
      <c r="A3" s="1" t="s">
        <v>8</v>
      </c>
      <c r="B3" s="1" t="s">
        <v>9</v>
      </c>
      <c r="C3" s="1" t="s">
        <v>11</v>
      </c>
      <c r="D3" s="1">
        <v>0.0</v>
      </c>
      <c r="E3" s="1">
        <v>1.0</v>
      </c>
      <c r="F3" s="1">
        <v>2.0</v>
      </c>
      <c r="G3" s="1">
        <v>4.0</v>
      </c>
      <c r="H3" s="1" t="s">
        <v>4</v>
      </c>
    </row>
    <row r="4">
      <c r="A4" s="1" t="s">
        <v>8</v>
      </c>
      <c r="B4" s="1" t="s">
        <v>9</v>
      </c>
      <c r="C4" s="1" t="s">
        <v>12</v>
      </c>
      <c r="D4" s="1" t="s">
        <v>13</v>
      </c>
      <c r="E4" s="1" t="s">
        <v>14</v>
      </c>
      <c r="F4" s="1" t="s">
        <v>15</v>
      </c>
      <c r="G4" s="1" t="s">
        <v>16</v>
      </c>
      <c r="H4" s="1" t="s">
        <v>5</v>
      </c>
    </row>
    <row r="5">
      <c r="A5" s="1" t="s">
        <v>8</v>
      </c>
      <c r="B5" s="1" t="s">
        <v>9</v>
      </c>
      <c r="C5" s="1" t="s">
        <v>17</v>
      </c>
      <c r="D5" s="1">
        <v>38.0</v>
      </c>
      <c r="E5" s="1">
        <v>114.0</v>
      </c>
      <c r="F5" s="1">
        <v>57.0</v>
      </c>
      <c r="G5" s="1">
        <v>152.0</v>
      </c>
      <c r="H5" s="1" t="s">
        <v>4</v>
      </c>
    </row>
    <row r="6">
      <c r="A6" s="1" t="s">
        <v>8</v>
      </c>
      <c r="B6" s="1" t="s">
        <v>9</v>
      </c>
      <c r="C6" s="1" t="s">
        <v>18</v>
      </c>
      <c r="D6" s="1" t="s">
        <v>19</v>
      </c>
      <c r="E6" s="1" t="s">
        <v>20</v>
      </c>
      <c r="F6" s="1" t="s">
        <v>21</v>
      </c>
      <c r="G6" s="1" t="s">
        <v>22</v>
      </c>
      <c r="H6" s="1" t="s">
        <v>4</v>
      </c>
    </row>
    <row r="7">
      <c r="A7" s="1" t="s">
        <v>8</v>
      </c>
      <c r="B7" s="1" t="s">
        <v>9</v>
      </c>
      <c r="C7" s="1" t="s">
        <v>23</v>
      </c>
      <c r="D7" s="1" t="s">
        <v>19</v>
      </c>
      <c r="E7" s="1" t="s">
        <v>20</v>
      </c>
      <c r="F7" s="1" t="s">
        <v>21</v>
      </c>
      <c r="G7" s="1" t="s">
        <v>24</v>
      </c>
      <c r="H7" s="1" t="s">
        <v>3</v>
      </c>
    </row>
    <row r="8">
      <c r="A8" s="1" t="s">
        <v>8</v>
      </c>
      <c r="B8" s="1" t="s">
        <v>9</v>
      </c>
      <c r="C8" s="1" t="s">
        <v>25</v>
      </c>
      <c r="D8" s="1">
        <v>4.0</v>
      </c>
      <c r="E8" s="1">
        <v>6.0</v>
      </c>
      <c r="F8" s="1">
        <v>8.0</v>
      </c>
      <c r="G8" s="1">
        <v>10.0</v>
      </c>
      <c r="H8" s="1" t="s">
        <v>5</v>
      </c>
    </row>
    <row r="9">
      <c r="A9" s="1" t="s">
        <v>8</v>
      </c>
      <c r="B9" s="1" t="s">
        <v>9</v>
      </c>
      <c r="C9" s="1" t="s">
        <v>26</v>
      </c>
      <c r="D9" s="1" t="s">
        <v>27</v>
      </c>
      <c r="E9" s="1" t="s">
        <v>28</v>
      </c>
      <c r="F9" s="1" t="s">
        <v>29</v>
      </c>
      <c r="G9" s="1">
        <v>1.0</v>
      </c>
      <c r="H9" s="1" t="s">
        <v>6</v>
      </c>
    </row>
    <row r="10">
      <c r="A10" s="1" t="s">
        <v>8</v>
      </c>
      <c r="B10" s="1" t="s">
        <v>9</v>
      </c>
      <c r="C10" s="1" t="s">
        <v>30</v>
      </c>
      <c r="D10" s="1" t="s">
        <v>27</v>
      </c>
      <c r="E10" s="1" t="s">
        <v>28</v>
      </c>
      <c r="F10" s="1" t="s">
        <v>31</v>
      </c>
      <c r="G10" s="1" t="s">
        <v>32</v>
      </c>
      <c r="H10" s="1" t="s">
        <v>5</v>
      </c>
    </row>
    <row r="11">
      <c r="A11" s="1" t="s">
        <v>8</v>
      </c>
      <c r="B11" s="1" t="s">
        <v>9</v>
      </c>
      <c r="C11" s="1" t="s">
        <v>33</v>
      </c>
      <c r="D11" s="1" t="s">
        <v>34</v>
      </c>
      <c r="E11" s="1" t="s">
        <v>35</v>
      </c>
      <c r="F11" s="1" t="s">
        <v>36</v>
      </c>
      <c r="G11" s="1" t="s">
        <v>37</v>
      </c>
      <c r="H11" s="1" t="s">
        <v>5</v>
      </c>
    </row>
    <row r="12">
      <c r="A12" s="1" t="s">
        <v>8</v>
      </c>
      <c r="B12" s="1" t="s">
        <v>9</v>
      </c>
      <c r="C12" s="1" t="s">
        <v>38</v>
      </c>
      <c r="D12" s="1" t="s">
        <v>39</v>
      </c>
      <c r="E12" s="1" t="s">
        <v>40</v>
      </c>
      <c r="F12" s="1" t="s">
        <v>41</v>
      </c>
      <c r="G12" s="1" t="s">
        <v>42</v>
      </c>
      <c r="H12" s="1" t="s">
        <v>5</v>
      </c>
    </row>
    <row r="13">
      <c r="A13" s="1" t="s">
        <v>8</v>
      </c>
      <c r="B13" s="1" t="s">
        <v>9</v>
      </c>
      <c r="C13" s="1" t="s">
        <v>43</v>
      </c>
      <c r="D13" s="1" t="s">
        <v>41</v>
      </c>
      <c r="E13" s="1" t="s">
        <v>40</v>
      </c>
      <c r="F13" s="1" t="s">
        <v>44</v>
      </c>
      <c r="G13" s="1" t="s">
        <v>39</v>
      </c>
      <c r="H13" s="1" t="s">
        <v>4</v>
      </c>
    </row>
    <row r="14">
      <c r="A14" s="1" t="s">
        <v>8</v>
      </c>
      <c r="B14" s="1" t="s">
        <v>9</v>
      </c>
      <c r="C14" s="1" t="s">
        <v>45</v>
      </c>
      <c r="D14" s="1" t="s">
        <v>21</v>
      </c>
      <c r="E14" s="1" t="s">
        <v>19</v>
      </c>
      <c r="F14" s="1" t="s">
        <v>20</v>
      </c>
      <c r="G14" s="1" t="s">
        <v>22</v>
      </c>
      <c r="H14" s="1" t="s">
        <v>5</v>
      </c>
    </row>
    <row r="15">
      <c r="A15" s="1" t="s">
        <v>8</v>
      </c>
      <c r="B15" s="1" t="s">
        <v>9</v>
      </c>
      <c r="C15" s="1" t="s">
        <v>46</v>
      </c>
      <c r="D15" s="1" t="s">
        <v>47</v>
      </c>
      <c r="E15" s="1" t="s">
        <v>48</v>
      </c>
      <c r="F15" s="1" t="s">
        <v>49</v>
      </c>
      <c r="G15" s="1" t="s">
        <v>22</v>
      </c>
      <c r="H15" s="1" t="s">
        <v>5</v>
      </c>
    </row>
    <row r="16">
      <c r="A16" s="1" t="s">
        <v>8</v>
      </c>
      <c r="B16" s="1" t="s">
        <v>9</v>
      </c>
      <c r="C16" s="1" t="s">
        <v>50</v>
      </c>
      <c r="D16" s="1" t="s">
        <v>51</v>
      </c>
      <c r="E16" s="1" t="s">
        <v>52</v>
      </c>
      <c r="F16" s="1" t="s">
        <v>53</v>
      </c>
      <c r="G16" s="1" t="s">
        <v>54</v>
      </c>
      <c r="H16" s="1" t="s">
        <v>4</v>
      </c>
    </row>
    <row r="17">
      <c r="A17" s="1" t="s">
        <v>8</v>
      </c>
      <c r="B17" s="1" t="s">
        <v>9</v>
      </c>
      <c r="C17" s="1" t="s">
        <v>55</v>
      </c>
      <c r="D17" s="1">
        <v>1.0</v>
      </c>
      <c r="E17" s="1">
        <v>2.0</v>
      </c>
      <c r="F17" s="1">
        <v>0.0</v>
      </c>
      <c r="G17" s="1">
        <v>3.0</v>
      </c>
      <c r="H17" s="1" t="s">
        <v>5</v>
      </c>
    </row>
    <row r="18">
      <c r="A18" s="1" t="s">
        <v>8</v>
      </c>
      <c r="B18" s="1" t="s">
        <v>9</v>
      </c>
      <c r="C18" s="1" t="s">
        <v>56</v>
      </c>
      <c r="D18" s="1" t="s">
        <v>15</v>
      </c>
      <c r="E18" s="1" t="s">
        <v>57</v>
      </c>
      <c r="F18" s="1" t="s">
        <v>58</v>
      </c>
      <c r="G18" s="1" t="s">
        <v>59</v>
      </c>
      <c r="H18" s="1" t="s">
        <v>4</v>
      </c>
    </row>
    <row r="19">
      <c r="A19" s="1" t="s">
        <v>8</v>
      </c>
      <c r="B19" s="1" t="s">
        <v>9</v>
      </c>
      <c r="C19" s="1" t="s">
        <v>60</v>
      </c>
      <c r="D19" s="1">
        <v>1.0</v>
      </c>
      <c r="E19" s="1">
        <v>2.0</v>
      </c>
      <c r="F19" s="1">
        <v>4.0</v>
      </c>
      <c r="G19" s="1">
        <v>0.0</v>
      </c>
      <c r="H19" s="1" t="s">
        <v>4</v>
      </c>
    </row>
    <row r="20">
      <c r="A20" s="1" t="s">
        <v>8</v>
      </c>
      <c r="B20" s="1" t="s">
        <v>9</v>
      </c>
      <c r="C20" s="1" t="s">
        <v>61</v>
      </c>
      <c r="D20" s="1">
        <v>1.0</v>
      </c>
      <c r="E20" s="1">
        <v>2.0</v>
      </c>
      <c r="F20" s="1">
        <v>3.0</v>
      </c>
      <c r="G20" s="1">
        <v>4.0</v>
      </c>
      <c r="H20" s="1" t="s">
        <v>4</v>
      </c>
    </row>
    <row r="21">
      <c r="A21" s="1" t="s">
        <v>8</v>
      </c>
      <c r="B21" s="1" t="s">
        <v>9</v>
      </c>
      <c r="C21" s="1" t="s">
        <v>62</v>
      </c>
      <c r="D21" s="1">
        <v>1.0</v>
      </c>
      <c r="E21" s="1">
        <v>2.0</v>
      </c>
      <c r="F21" s="1">
        <v>3.0</v>
      </c>
      <c r="G21" s="1" t="s">
        <v>63</v>
      </c>
      <c r="H21" s="1" t="s">
        <v>6</v>
      </c>
    </row>
    <row r="22">
      <c r="A22" s="1" t="s">
        <v>8</v>
      </c>
      <c r="B22" s="1" t="s">
        <v>9</v>
      </c>
      <c r="C22" s="1" t="s">
        <v>64</v>
      </c>
      <c r="D22" s="1" t="s">
        <v>65</v>
      </c>
      <c r="E22" s="1" t="s">
        <v>66</v>
      </c>
      <c r="F22" s="1" t="s">
        <v>67</v>
      </c>
      <c r="G22" s="1" t="s">
        <v>22</v>
      </c>
      <c r="H22" s="1" t="s">
        <v>3</v>
      </c>
    </row>
    <row r="23">
      <c r="A23" s="1" t="s">
        <v>8</v>
      </c>
      <c r="B23" s="1" t="s">
        <v>9</v>
      </c>
      <c r="C23" s="1" t="s">
        <v>68</v>
      </c>
      <c r="D23" s="1">
        <v>15.0</v>
      </c>
      <c r="E23" s="1">
        <v>23.0</v>
      </c>
      <c r="F23" s="1">
        <v>12.0</v>
      </c>
      <c r="G23" s="1">
        <v>75.0</v>
      </c>
      <c r="H23" s="1" t="s">
        <v>4</v>
      </c>
    </row>
    <row r="24">
      <c r="A24" s="1" t="s">
        <v>8</v>
      </c>
      <c r="B24" s="1" t="s">
        <v>9</v>
      </c>
      <c r="C24" s="1" t="s">
        <v>69</v>
      </c>
      <c r="D24" s="1">
        <v>3.0</v>
      </c>
      <c r="E24" s="1">
        <v>5.0</v>
      </c>
      <c r="F24" s="1">
        <v>6.0</v>
      </c>
      <c r="G24" s="1">
        <v>4.0</v>
      </c>
      <c r="H24" s="1" t="s">
        <v>6</v>
      </c>
    </row>
    <row r="25">
      <c r="A25" s="1" t="s">
        <v>8</v>
      </c>
      <c r="B25" s="1" t="s">
        <v>9</v>
      </c>
      <c r="C25" s="1" t="s">
        <v>70</v>
      </c>
      <c r="D25" s="1" t="s">
        <v>71</v>
      </c>
      <c r="E25" s="1" t="s">
        <v>72</v>
      </c>
      <c r="F25" s="1" t="s">
        <v>73</v>
      </c>
      <c r="G25" s="1" t="s">
        <v>74</v>
      </c>
      <c r="H25" s="1" t="s">
        <v>3</v>
      </c>
    </row>
    <row r="26">
      <c r="A26" s="1" t="s">
        <v>8</v>
      </c>
      <c r="B26" s="1" t="s">
        <v>9</v>
      </c>
      <c r="C26" s="1" t="s">
        <v>75</v>
      </c>
      <c r="D26" s="1" t="s">
        <v>76</v>
      </c>
      <c r="E26" s="1" t="s">
        <v>77</v>
      </c>
      <c r="F26" s="1" t="s">
        <v>78</v>
      </c>
      <c r="G26" s="1" t="s">
        <v>79</v>
      </c>
      <c r="H26" s="1" t="s">
        <v>4</v>
      </c>
    </row>
    <row r="27">
      <c r="A27" s="1" t="s">
        <v>8</v>
      </c>
      <c r="B27" s="1" t="s">
        <v>9</v>
      </c>
      <c r="C27" s="1" t="s">
        <v>80</v>
      </c>
      <c r="D27" s="1">
        <v>2.0</v>
      </c>
      <c r="E27" s="1">
        <v>3.0</v>
      </c>
      <c r="F27" s="1">
        <v>4.0</v>
      </c>
      <c r="G27" s="1">
        <v>5.0</v>
      </c>
      <c r="H27" s="1" t="s">
        <v>6</v>
      </c>
    </row>
    <row r="28">
      <c r="A28" s="1" t="s">
        <v>8</v>
      </c>
      <c r="B28" s="1" t="s">
        <v>9</v>
      </c>
      <c r="C28" s="1" t="s">
        <v>81</v>
      </c>
      <c r="D28" s="1" t="s">
        <v>65</v>
      </c>
      <c r="E28" s="1" t="s">
        <v>82</v>
      </c>
      <c r="F28" s="1" t="s">
        <v>83</v>
      </c>
      <c r="G28" s="1" t="s">
        <v>22</v>
      </c>
      <c r="H28" s="1" t="s">
        <v>3</v>
      </c>
    </row>
    <row r="29">
      <c r="A29" s="1" t="s">
        <v>8</v>
      </c>
      <c r="B29" s="1" t="s">
        <v>9</v>
      </c>
      <c r="C29" s="1" t="s">
        <v>84</v>
      </c>
      <c r="D29" s="1">
        <v>1150.0</v>
      </c>
      <c r="E29" s="1">
        <v>1250.0</v>
      </c>
      <c r="F29" s="1">
        <v>1350.0</v>
      </c>
      <c r="G29" s="1">
        <v>1450.0</v>
      </c>
      <c r="H29" s="1" t="s">
        <v>4</v>
      </c>
    </row>
    <row r="30">
      <c r="A30" s="1" t="s">
        <v>8</v>
      </c>
      <c r="B30" s="1" t="s">
        <v>9</v>
      </c>
      <c r="C30" s="1" t="s">
        <v>85</v>
      </c>
      <c r="D30" s="1" t="s">
        <v>19</v>
      </c>
      <c r="E30" s="1" t="s">
        <v>20</v>
      </c>
      <c r="F30" s="1" t="s">
        <v>21</v>
      </c>
      <c r="G30" s="1" t="s">
        <v>24</v>
      </c>
      <c r="H30" s="1" t="s">
        <v>3</v>
      </c>
    </row>
    <row r="31">
      <c r="A31" s="1" t="s">
        <v>8</v>
      </c>
      <c r="B31" s="1" t="s">
        <v>9</v>
      </c>
      <c r="C31" s="1" t="s">
        <v>86</v>
      </c>
      <c r="D31" s="1" t="s">
        <v>87</v>
      </c>
      <c r="E31" s="1" t="s">
        <v>88</v>
      </c>
      <c r="F31" s="1" t="s">
        <v>89</v>
      </c>
      <c r="G31" s="1" t="s">
        <v>22</v>
      </c>
      <c r="H31" s="1" t="s">
        <v>3</v>
      </c>
    </row>
    <row r="32">
      <c r="A32" s="1" t="s">
        <v>8</v>
      </c>
      <c r="B32" s="1" t="s">
        <v>9</v>
      </c>
      <c r="C32" s="1" t="s">
        <v>90</v>
      </c>
      <c r="D32" s="1">
        <v>1.0</v>
      </c>
      <c r="E32" s="1">
        <v>0.0</v>
      </c>
      <c r="F32" s="1">
        <v>-1.0</v>
      </c>
      <c r="G32" s="1">
        <v>2.0</v>
      </c>
      <c r="H32" s="1" t="s">
        <v>4</v>
      </c>
    </row>
    <row r="33">
      <c r="A33" s="1" t="s">
        <v>8</v>
      </c>
      <c r="B33" s="1" t="s">
        <v>9</v>
      </c>
      <c r="C33" s="1" t="s">
        <v>91</v>
      </c>
      <c r="D33" s="1">
        <v>1.0</v>
      </c>
      <c r="E33" s="1">
        <v>2.0</v>
      </c>
      <c r="F33" s="1">
        <v>3.0</v>
      </c>
      <c r="G33" s="1">
        <v>0.0</v>
      </c>
      <c r="H33" s="1" t="s">
        <v>3</v>
      </c>
    </row>
    <row r="34">
      <c r="A34" s="1" t="s">
        <v>8</v>
      </c>
      <c r="B34" s="1" t="s">
        <v>9</v>
      </c>
      <c r="C34" s="1" t="s">
        <v>92</v>
      </c>
      <c r="D34" s="1" t="s">
        <v>19</v>
      </c>
      <c r="E34" s="1" t="s">
        <v>20</v>
      </c>
      <c r="F34" s="1" t="s">
        <v>21</v>
      </c>
      <c r="G34" s="1" t="s">
        <v>93</v>
      </c>
      <c r="H34" s="1" t="s">
        <v>4</v>
      </c>
    </row>
    <row r="35">
      <c r="A35" s="1" t="s">
        <v>8</v>
      </c>
      <c r="B35" s="1" t="s">
        <v>9</v>
      </c>
      <c r="C35" s="1" t="s">
        <v>94</v>
      </c>
      <c r="D35" s="1" t="s">
        <v>95</v>
      </c>
      <c r="E35" s="1" t="s">
        <v>96</v>
      </c>
      <c r="F35" s="1" t="s">
        <v>97</v>
      </c>
      <c r="G35" s="1" t="s">
        <v>22</v>
      </c>
      <c r="H35" s="1" t="s">
        <v>5</v>
      </c>
    </row>
    <row r="36">
      <c r="A36" s="1" t="s">
        <v>8</v>
      </c>
      <c r="B36" s="1" t="s">
        <v>9</v>
      </c>
      <c r="C36" s="1" t="s">
        <v>98</v>
      </c>
      <c r="D36" s="1" t="s">
        <v>19</v>
      </c>
      <c r="E36" s="1" t="s">
        <v>20</v>
      </c>
      <c r="F36" s="1" t="s">
        <v>99</v>
      </c>
      <c r="G36" s="1" t="s">
        <v>22</v>
      </c>
      <c r="H36" s="1" t="s">
        <v>3</v>
      </c>
    </row>
    <row r="37">
      <c r="A37" s="1" t="s">
        <v>8</v>
      </c>
      <c r="B37" s="1" t="s">
        <v>9</v>
      </c>
      <c r="C37" s="1" t="s">
        <v>100</v>
      </c>
      <c r="D37" s="1" t="s">
        <v>101</v>
      </c>
      <c r="E37" s="1" t="s">
        <v>102</v>
      </c>
      <c r="F37" s="1" t="s">
        <v>103</v>
      </c>
      <c r="G37" s="1" t="s">
        <v>104</v>
      </c>
      <c r="H37" s="1" t="s">
        <v>3</v>
      </c>
    </row>
    <row r="38">
      <c r="A38" s="1" t="s">
        <v>8</v>
      </c>
      <c r="B38" s="1" t="s">
        <v>9</v>
      </c>
      <c r="C38" s="1" t="s">
        <v>105</v>
      </c>
      <c r="D38" s="1" t="s">
        <v>106</v>
      </c>
      <c r="E38" s="1" t="s">
        <v>107</v>
      </c>
      <c r="F38" s="1" t="s">
        <v>108</v>
      </c>
      <c r="G38" s="1" t="s">
        <v>109</v>
      </c>
      <c r="H38" s="1" t="s">
        <v>3</v>
      </c>
    </row>
    <row r="39">
      <c r="A39" s="1" t="s">
        <v>8</v>
      </c>
      <c r="B39" s="1" t="s">
        <v>9</v>
      </c>
      <c r="C39" s="1" t="s">
        <v>110</v>
      </c>
      <c r="D39" s="1" t="s">
        <v>71</v>
      </c>
      <c r="E39" s="1" t="s">
        <v>72</v>
      </c>
      <c r="F39" s="1" t="s">
        <v>73</v>
      </c>
      <c r="G39" s="1" t="s">
        <v>111</v>
      </c>
      <c r="H39" s="1" t="s">
        <v>4</v>
      </c>
    </row>
    <row r="40">
      <c r="A40" s="1" t="s">
        <v>8</v>
      </c>
      <c r="B40" s="1" t="s">
        <v>9</v>
      </c>
      <c r="C40" s="1" t="s">
        <v>112</v>
      </c>
      <c r="D40" s="1" t="s">
        <v>19</v>
      </c>
      <c r="E40" s="1" t="s">
        <v>20</v>
      </c>
      <c r="F40" s="1" t="s">
        <v>21</v>
      </c>
      <c r="G40" s="1" t="s">
        <v>22</v>
      </c>
      <c r="H40" s="1" t="s">
        <v>3</v>
      </c>
    </row>
    <row r="41">
      <c r="A41" s="1" t="s">
        <v>8</v>
      </c>
      <c r="B41" s="1" t="s">
        <v>9</v>
      </c>
      <c r="C41" s="1" t="s">
        <v>113</v>
      </c>
      <c r="D41" s="1" t="s">
        <v>114</v>
      </c>
      <c r="E41" s="1" t="s">
        <v>115</v>
      </c>
      <c r="F41" s="1" t="s">
        <v>116</v>
      </c>
      <c r="G41" s="1" t="s">
        <v>117</v>
      </c>
      <c r="H41" s="1" t="s">
        <v>4</v>
      </c>
    </row>
    <row r="42">
      <c r="A42" s="1" t="s">
        <v>8</v>
      </c>
      <c r="B42" s="1" t="s">
        <v>9</v>
      </c>
      <c r="C42" s="1" t="s">
        <v>118</v>
      </c>
      <c r="D42" s="1" t="s">
        <v>21</v>
      </c>
      <c r="E42" s="1" t="s">
        <v>87</v>
      </c>
      <c r="F42" s="1" t="s">
        <v>88</v>
      </c>
      <c r="G42" s="1" t="s">
        <v>22</v>
      </c>
      <c r="H42" s="1" t="s">
        <v>4</v>
      </c>
    </row>
    <row r="43">
      <c r="A43" s="1" t="s">
        <v>8</v>
      </c>
      <c r="B43" s="1" t="s">
        <v>9</v>
      </c>
      <c r="C43" s="1" t="s">
        <v>119</v>
      </c>
      <c r="D43" s="1">
        <v>1363.0</v>
      </c>
      <c r="E43" s="1">
        <v>1365.0</v>
      </c>
      <c r="F43" s="1">
        <v>1360.0</v>
      </c>
      <c r="G43" s="1">
        <v>1355.0</v>
      </c>
      <c r="H43" s="1" t="s">
        <v>4</v>
      </c>
    </row>
    <row r="44">
      <c r="A44" s="1" t="s">
        <v>8</v>
      </c>
      <c r="B44" s="1" t="s">
        <v>9</v>
      </c>
      <c r="C44" s="1" t="s">
        <v>120</v>
      </c>
      <c r="D44" s="1" t="s">
        <v>65</v>
      </c>
      <c r="E44" s="1" t="s">
        <v>82</v>
      </c>
      <c r="F44" s="1" t="s">
        <v>66</v>
      </c>
      <c r="G44" s="1" t="s">
        <v>22</v>
      </c>
      <c r="H44" s="1" t="s">
        <v>3</v>
      </c>
    </row>
    <row r="45">
      <c r="A45" s="1" t="s">
        <v>8</v>
      </c>
      <c r="B45" s="1" t="s">
        <v>9</v>
      </c>
      <c r="C45" s="1" t="s">
        <v>121</v>
      </c>
      <c r="D45" s="1">
        <v>36.0</v>
      </c>
      <c r="E45" s="1">
        <v>45.0</v>
      </c>
      <c r="F45" s="1">
        <v>81.0</v>
      </c>
      <c r="G45" s="1">
        <v>108.0</v>
      </c>
      <c r="H45" s="1" t="s">
        <v>5</v>
      </c>
    </row>
    <row r="46">
      <c r="A46" s="1" t="s">
        <v>8</v>
      </c>
      <c r="B46" s="1" t="s">
        <v>9</v>
      </c>
      <c r="C46" s="1" t="s">
        <v>122</v>
      </c>
      <c r="D46" s="1">
        <v>0.0</v>
      </c>
      <c r="E46" s="1">
        <v>1.0</v>
      </c>
      <c r="F46" s="1">
        <v>-1.0</v>
      </c>
      <c r="G46" s="1">
        <v>2.0</v>
      </c>
      <c r="H46" s="1" t="s">
        <v>4</v>
      </c>
    </row>
    <row r="47">
      <c r="A47" s="1" t="s">
        <v>8</v>
      </c>
      <c r="B47" s="1" t="s">
        <v>9</v>
      </c>
      <c r="C47" s="1" t="s">
        <v>123</v>
      </c>
      <c r="D47" s="1" t="s">
        <v>124</v>
      </c>
      <c r="E47" s="1" t="s">
        <v>125</v>
      </c>
      <c r="F47" s="1" t="s">
        <v>126</v>
      </c>
      <c r="G47" s="1" t="s">
        <v>127</v>
      </c>
      <c r="H47" s="1" t="s">
        <v>3</v>
      </c>
    </row>
    <row r="48">
      <c r="A48" s="1" t="s">
        <v>8</v>
      </c>
      <c r="B48" s="1" t="s">
        <v>9</v>
      </c>
      <c r="C48" s="1" t="s">
        <v>128</v>
      </c>
      <c r="D48" s="1" t="s">
        <v>129</v>
      </c>
      <c r="E48" s="1" t="s">
        <v>130</v>
      </c>
      <c r="F48" s="1" t="s">
        <v>131</v>
      </c>
      <c r="G48" s="1" t="s">
        <v>16</v>
      </c>
      <c r="H48" s="1" t="s">
        <v>3</v>
      </c>
    </row>
    <row r="49">
      <c r="A49" s="1" t="s">
        <v>8</v>
      </c>
      <c r="B49" s="1" t="s">
        <v>9</v>
      </c>
      <c r="C49" s="1" t="s">
        <v>132</v>
      </c>
      <c r="D49" s="1">
        <v>9.0</v>
      </c>
      <c r="E49" s="1">
        <v>18.0</v>
      </c>
      <c r="F49" s="1">
        <v>72.0</v>
      </c>
      <c r="G49" s="1">
        <v>36.0</v>
      </c>
      <c r="H49" s="1" t="s">
        <v>4</v>
      </c>
    </row>
    <row r="50">
      <c r="A50" s="1" t="s">
        <v>8</v>
      </c>
      <c r="B50" s="1" t="s">
        <v>9</v>
      </c>
      <c r="C50" s="1" t="s">
        <v>133</v>
      </c>
      <c r="D50" s="1" t="s">
        <v>134</v>
      </c>
      <c r="E50" s="1" t="s">
        <v>135</v>
      </c>
      <c r="F50" s="1" t="s">
        <v>136</v>
      </c>
      <c r="G50" s="1" t="s">
        <v>137</v>
      </c>
      <c r="H50" s="1" t="s">
        <v>5</v>
      </c>
    </row>
    <row r="51">
      <c r="A51" s="1" t="s">
        <v>8</v>
      </c>
      <c r="B51" s="1" t="s">
        <v>9</v>
      </c>
      <c r="C51" s="1" t="s">
        <v>138</v>
      </c>
      <c r="D51" s="1" t="s">
        <v>139</v>
      </c>
      <c r="E51" s="1" t="s">
        <v>140</v>
      </c>
      <c r="F51" s="1" t="s">
        <v>141</v>
      </c>
      <c r="G51" s="1" t="s">
        <v>142</v>
      </c>
      <c r="H51" s="1" t="s">
        <v>5</v>
      </c>
    </row>
    <row r="52">
      <c r="A52" s="1" t="s">
        <v>8</v>
      </c>
      <c r="B52" s="1" t="s">
        <v>9</v>
      </c>
      <c r="C52" s="1" t="s">
        <v>143</v>
      </c>
      <c r="D52" s="1">
        <v>24.0</v>
      </c>
      <c r="E52" s="1">
        <v>25.0</v>
      </c>
      <c r="F52" s="1">
        <v>26.0</v>
      </c>
      <c r="G52" s="1">
        <v>27.0</v>
      </c>
      <c r="H52" s="1" t="s">
        <v>4</v>
      </c>
    </row>
    <row r="53">
      <c r="A53" s="1" t="s">
        <v>8</v>
      </c>
      <c r="B53" s="1" t="s">
        <v>9</v>
      </c>
      <c r="C53" s="1" t="s">
        <v>144</v>
      </c>
      <c r="D53" s="1" t="s">
        <v>104</v>
      </c>
      <c r="E53" s="1" t="s">
        <v>103</v>
      </c>
      <c r="F53" s="1" t="s">
        <v>145</v>
      </c>
      <c r="G53" s="1" t="s">
        <v>146</v>
      </c>
      <c r="H53" s="1" t="s">
        <v>4</v>
      </c>
    </row>
    <row r="54">
      <c r="A54" s="1" t="s">
        <v>8</v>
      </c>
      <c r="B54" s="1" t="s">
        <v>9</v>
      </c>
      <c r="C54" s="1" t="s">
        <v>147</v>
      </c>
      <c r="D54" s="1">
        <v>1680.0</v>
      </c>
      <c r="E54" s="1">
        <v>1700.0</v>
      </c>
      <c r="F54" s="1">
        <v>1600.0</v>
      </c>
      <c r="G54" s="1">
        <v>1580.0</v>
      </c>
      <c r="H54" s="1" t="s">
        <v>3</v>
      </c>
    </row>
    <row r="55">
      <c r="A55" s="1" t="s">
        <v>8</v>
      </c>
      <c r="B55" s="1" t="s">
        <v>9</v>
      </c>
      <c r="C55" s="1" t="s">
        <v>148</v>
      </c>
      <c r="D55" s="1" t="s">
        <v>19</v>
      </c>
      <c r="E55" s="1" t="s">
        <v>20</v>
      </c>
      <c r="F55" s="1" t="s">
        <v>21</v>
      </c>
      <c r="G55" s="1" t="s">
        <v>24</v>
      </c>
      <c r="H55" s="1" t="s">
        <v>4</v>
      </c>
    </row>
    <row r="56">
      <c r="A56" s="1" t="s">
        <v>8</v>
      </c>
      <c r="B56" s="1" t="s">
        <v>9</v>
      </c>
      <c r="C56" s="1" t="s">
        <v>149</v>
      </c>
      <c r="D56" s="1">
        <v>3.0</v>
      </c>
      <c r="E56" s="1">
        <v>5.0</v>
      </c>
      <c r="F56" s="1">
        <v>7.0</v>
      </c>
      <c r="G56" s="1">
        <v>2.0</v>
      </c>
      <c r="H56" s="1" t="s">
        <v>3</v>
      </c>
    </row>
    <row r="57">
      <c r="A57" s="1" t="s">
        <v>8</v>
      </c>
      <c r="B57" s="1" t="s">
        <v>9</v>
      </c>
      <c r="C57" s="1" t="s">
        <v>150</v>
      </c>
      <c r="D57" s="1" t="s">
        <v>65</v>
      </c>
      <c r="E57" s="1" t="s">
        <v>82</v>
      </c>
      <c r="F57" s="1" t="s">
        <v>20</v>
      </c>
      <c r="G57" s="1" t="s">
        <v>22</v>
      </c>
      <c r="H57" s="1" t="s">
        <v>3</v>
      </c>
    </row>
    <row r="58">
      <c r="A58" s="1" t="s">
        <v>8</v>
      </c>
      <c r="B58" s="1" t="s">
        <v>9</v>
      </c>
      <c r="C58" s="1" t="s">
        <v>151</v>
      </c>
      <c r="D58" s="1" t="s">
        <v>65</v>
      </c>
      <c r="E58" s="1" t="s">
        <v>82</v>
      </c>
      <c r="F58" s="1" t="s">
        <v>83</v>
      </c>
      <c r="G58" s="1" t="s">
        <v>22</v>
      </c>
      <c r="H58" s="1" t="s">
        <v>4</v>
      </c>
    </row>
    <row r="59">
      <c r="A59" s="1" t="s">
        <v>8</v>
      </c>
      <c r="B59" s="1" t="s">
        <v>9</v>
      </c>
      <c r="C59" s="1" t="s">
        <v>152</v>
      </c>
      <c r="D59" s="1">
        <v>1.0</v>
      </c>
      <c r="E59" s="1">
        <v>2.0</v>
      </c>
      <c r="F59" s="1">
        <v>3.0</v>
      </c>
      <c r="G59" s="1">
        <v>4.0</v>
      </c>
      <c r="H59" s="1" t="s">
        <v>4</v>
      </c>
    </row>
    <row r="60">
      <c r="A60" s="1" t="s">
        <v>8</v>
      </c>
      <c r="B60" s="1" t="s">
        <v>9</v>
      </c>
      <c r="C60" s="1" t="s">
        <v>153</v>
      </c>
      <c r="D60" s="1" t="s">
        <v>154</v>
      </c>
      <c r="E60" s="1" t="s">
        <v>155</v>
      </c>
      <c r="F60" s="1" t="s">
        <v>156</v>
      </c>
      <c r="G60" s="1" t="s">
        <v>22</v>
      </c>
      <c r="H60" s="1" t="s">
        <v>4</v>
      </c>
    </row>
    <row r="61">
      <c r="A61" s="1" t="s">
        <v>8</v>
      </c>
      <c r="B61" s="1" t="s">
        <v>9</v>
      </c>
      <c r="C61" s="1" t="s">
        <v>157</v>
      </c>
      <c r="D61" s="1">
        <v>13.0</v>
      </c>
      <c r="E61" s="1">
        <v>16.0</v>
      </c>
      <c r="F61" s="1">
        <v>17.0</v>
      </c>
      <c r="G61" s="1">
        <v>19.0</v>
      </c>
      <c r="H61" s="1" t="s">
        <v>3</v>
      </c>
    </row>
    <row r="62">
      <c r="A62" s="1" t="s">
        <v>8</v>
      </c>
      <c r="B62" s="1" t="s">
        <v>9</v>
      </c>
      <c r="C62" s="1" t="s">
        <v>158</v>
      </c>
      <c r="D62" s="1" t="s">
        <v>159</v>
      </c>
      <c r="E62" s="1" t="s">
        <v>160</v>
      </c>
      <c r="F62" s="1" t="s">
        <v>161</v>
      </c>
      <c r="G62" s="1" t="s">
        <v>162</v>
      </c>
      <c r="H62" s="1" t="s">
        <v>4</v>
      </c>
    </row>
    <row r="63">
      <c r="A63" s="1" t="s">
        <v>8</v>
      </c>
      <c r="B63" s="1" t="s">
        <v>9</v>
      </c>
      <c r="C63" s="1" t="s">
        <v>163</v>
      </c>
      <c r="D63" s="1">
        <v>6.0</v>
      </c>
      <c r="E63" s="1">
        <v>8.0</v>
      </c>
      <c r="F63" s="1">
        <v>9.0</v>
      </c>
      <c r="G63" s="1">
        <v>4.0</v>
      </c>
      <c r="H63" s="1" t="s">
        <v>4</v>
      </c>
    </row>
    <row r="64">
      <c r="A64" s="1" t="s">
        <v>8</v>
      </c>
      <c r="B64" s="1" t="s">
        <v>9</v>
      </c>
      <c r="C64" s="1" t="s">
        <v>164</v>
      </c>
      <c r="D64" s="1" t="s">
        <v>165</v>
      </c>
      <c r="E64" s="1" t="s">
        <v>166</v>
      </c>
      <c r="F64" s="1" t="s">
        <v>167</v>
      </c>
      <c r="G64" s="1" t="s">
        <v>168</v>
      </c>
      <c r="H64" s="1" t="s">
        <v>5</v>
      </c>
    </row>
    <row r="65">
      <c r="A65" s="1" t="s">
        <v>8</v>
      </c>
      <c r="B65" s="1" t="s">
        <v>9</v>
      </c>
      <c r="C65" s="1" t="s">
        <v>169</v>
      </c>
      <c r="D65" s="1" t="s">
        <v>170</v>
      </c>
      <c r="E65" s="1" t="s">
        <v>171</v>
      </c>
      <c r="F65" s="1" t="s">
        <v>165</v>
      </c>
      <c r="G65" s="1" t="s">
        <v>167</v>
      </c>
      <c r="H65" s="1" t="s">
        <v>5</v>
      </c>
    </row>
    <row r="66">
      <c r="A66" s="1" t="s">
        <v>8</v>
      </c>
      <c r="B66" s="1" t="s">
        <v>9</v>
      </c>
      <c r="C66" s="1" t="s">
        <v>172</v>
      </c>
      <c r="D66" s="1" t="s">
        <v>173</v>
      </c>
      <c r="E66" s="1" t="s">
        <v>174</v>
      </c>
      <c r="F66" s="1" t="s">
        <v>175</v>
      </c>
      <c r="G66" s="1" t="s">
        <v>176</v>
      </c>
      <c r="H66" s="1" t="s">
        <v>4</v>
      </c>
    </row>
    <row r="67">
      <c r="A67" s="1" t="s">
        <v>8</v>
      </c>
      <c r="B67" s="1" t="s">
        <v>9</v>
      </c>
      <c r="C67" s="1" t="s">
        <v>177</v>
      </c>
      <c r="D67" s="1">
        <v>1350.0</v>
      </c>
      <c r="E67" s="1">
        <v>90.0</v>
      </c>
      <c r="F67" s="1">
        <v>15.0</v>
      </c>
      <c r="G67" s="1">
        <v>135.0</v>
      </c>
      <c r="H67" s="1" t="s">
        <v>3</v>
      </c>
    </row>
    <row r="68">
      <c r="A68" s="1" t="s">
        <v>8</v>
      </c>
      <c r="B68" s="1" t="s">
        <v>9</v>
      </c>
      <c r="C68" s="1" t="s">
        <v>178</v>
      </c>
      <c r="D68" s="1" t="s">
        <v>71</v>
      </c>
      <c r="E68" s="1" t="s">
        <v>72</v>
      </c>
      <c r="F68" s="1" t="s">
        <v>179</v>
      </c>
      <c r="G68" s="1" t="s">
        <v>74</v>
      </c>
      <c r="H68" s="1" t="s">
        <v>4</v>
      </c>
    </row>
    <row r="69">
      <c r="A69" s="1" t="s">
        <v>8</v>
      </c>
      <c r="B69" s="1" t="s">
        <v>9</v>
      </c>
      <c r="C69" s="1" t="s">
        <v>180</v>
      </c>
      <c r="D69" s="1" t="s">
        <v>19</v>
      </c>
      <c r="E69" s="1" t="s">
        <v>20</v>
      </c>
      <c r="F69" s="1" t="s">
        <v>21</v>
      </c>
      <c r="G69" s="1" t="s">
        <v>24</v>
      </c>
      <c r="H69" s="1" t="s">
        <v>4</v>
      </c>
    </row>
    <row r="70">
      <c r="A70" s="1" t="s">
        <v>8</v>
      </c>
      <c r="B70" s="1" t="s">
        <v>9</v>
      </c>
      <c r="C70" s="1" t="s">
        <v>181</v>
      </c>
      <c r="D70" s="1" t="s">
        <v>19</v>
      </c>
      <c r="E70" s="1" t="s">
        <v>20</v>
      </c>
      <c r="F70" s="1" t="s">
        <v>21</v>
      </c>
      <c r="G70" s="1" t="s">
        <v>22</v>
      </c>
      <c r="H70" s="1" t="s">
        <v>4</v>
      </c>
    </row>
    <row r="71">
      <c r="A71" s="1" t="s">
        <v>8</v>
      </c>
      <c r="B71" s="1" t="s">
        <v>9</v>
      </c>
      <c r="C71" s="1" t="s">
        <v>182</v>
      </c>
      <c r="D71" s="1">
        <v>1.0</v>
      </c>
      <c r="E71" s="1">
        <v>2.0</v>
      </c>
      <c r="F71" s="1">
        <v>3.0</v>
      </c>
      <c r="G71" s="1">
        <v>4.0</v>
      </c>
      <c r="H71" s="1" t="s">
        <v>6</v>
      </c>
    </row>
    <row r="72">
      <c r="A72" s="1" t="s">
        <v>8</v>
      </c>
      <c r="B72" s="1" t="s">
        <v>9</v>
      </c>
      <c r="C72" s="1" t="s">
        <v>183</v>
      </c>
      <c r="D72" s="1" t="s">
        <v>21</v>
      </c>
      <c r="E72" s="1" t="s">
        <v>19</v>
      </c>
      <c r="F72" s="1" t="s">
        <v>20</v>
      </c>
      <c r="G72" s="1" t="s">
        <v>93</v>
      </c>
      <c r="H72" s="1" t="s">
        <v>4</v>
      </c>
    </row>
    <row r="73">
      <c r="A73" s="1" t="s">
        <v>8</v>
      </c>
      <c r="B73" s="1" t="s">
        <v>9</v>
      </c>
      <c r="C73" s="1" t="s">
        <v>184</v>
      </c>
      <c r="D73" s="1" t="s">
        <v>19</v>
      </c>
      <c r="E73" s="1" t="s">
        <v>20</v>
      </c>
      <c r="F73" s="1" t="s">
        <v>185</v>
      </c>
      <c r="G73" s="1" t="s">
        <v>21</v>
      </c>
      <c r="H73" s="1" t="s">
        <v>4</v>
      </c>
    </row>
    <row r="74">
      <c r="A74" s="1" t="s">
        <v>8</v>
      </c>
      <c r="B74" s="1" t="s">
        <v>9</v>
      </c>
      <c r="C74" s="1" t="s">
        <v>186</v>
      </c>
      <c r="D74" s="1" t="s">
        <v>187</v>
      </c>
      <c r="E74" s="1" t="s">
        <v>188</v>
      </c>
      <c r="F74" s="1">
        <v>1.0</v>
      </c>
      <c r="G74" s="1">
        <v>0.0</v>
      </c>
      <c r="H74" s="1" t="s">
        <v>4</v>
      </c>
    </row>
    <row r="75">
      <c r="A75" s="1" t="s">
        <v>8</v>
      </c>
      <c r="B75" s="1" t="s">
        <v>9</v>
      </c>
      <c r="C75" s="1" t="s">
        <v>189</v>
      </c>
      <c r="D75" s="1" t="s">
        <v>65</v>
      </c>
      <c r="E75" s="1" t="s">
        <v>66</v>
      </c>
      <c r="F75" s="1" t="s">
        <v>67</v>
      </c>
      <c r="G75" s="1" t="s">
        <v>22</v>
      </c>
      <c r="H75" s="1" t="s">
        <v>4</v>
      </c>
    </row>
    <row r="76">
      <c r="A76" s="1" t="s">
        <v>8</v>
      </c>
      <c r="B76" s="1" t="s">
        <v>9</v>
      </c>
      <c r="C76" s="1" t="s">
        <v>190</v>
      </c>
      <c r="D76" s="1">
        <v>20.0</v>
      </c>
      <c r="E76" s="1">
        <v>25.0</v>
      </c>
      <c r="F76" s="1">
        <v>15.0</v>
      </c>
      <c r="G76" s="1">
        <v>10.0</v>
      </c>
      <c r="H76" s="1" t="s">
        <v>4</v>
      </c>
    </row>
    <row r="77">
      <c r="A77" s="1" t="s">
        <v>8</v>
      </c>
      <c r="B77" s="1" t="s">
        <v>9</v>
      </c>
      <c r="C77" s="1" t="s">
        <v>191</v>
      </c>
      <c r="D77" s="1" t="s">
        <v>192</v>
      </c>
      <c r="E77" s="1" t="s">
        <v>193</v>
      </c>
      <c r="F77" s="1" t="s">
        <v>194</v>
      </c>
      <c r="G77" s="1" t="s">
        <v>195</v>
      </c>
      <c r="H77" s="1" t="s">
        <v>5</v>
      </c>
    </row>
    <row r="78">
      <c r="A78" s="1" t="s">
        <v>8</v>
      </c>
      <c r="B78" s="1" t="s">
        <v>9</v>
      </c>
      <c r="C78" s="1" t="s">
        <v>196</v>
      </c>
      <c r="D78" s="1" t="s">
        <v>197</v>
      </c>
      <c r="E78" s="1" t="s">
        <v>19</v>
      </c>
      <c r="F78" s="1" t="s">
        <v>198</v>
      </c>
      <c r="G78" s="1" t="s">
        <v>199</v>
      </c>
      <c r="H78" s="1" t="s">
        <v>4</v>
      </c>
    </row>
    <row r="79">
      <c r="A79" s="1" t="s">
        <v>8</v>
      </c>
      <c r="B79" s="1" t="s">
        <v>9</v>
      </c>
      <c r="C79" s="1" t="s">
        <v>200</v>
      </c>
      <c r="D79" s="1" t="s">
        <v>201</v>
      </c>
      <c r="E79" s="1" t="s">
        <v>202</v>
      </c>
      <c r="F79" s="1" t="s">
        <v>53</v>
      </c>
      <c r="G79" s="1" t="s">
        <v>54</v>
      </c>
      <c r="H79" s="1" t="s">
        <v>4</v>
      </c>
    </row>
    <row r="80">
      <c r="A80" s="1" t="s">
        <v>8</v>
      </c>
      <c r="B80" s="1" t="s">
        <v>9</v>
      </c>
      <c r="C80" s="1" t="s">
        <v>203</v>
      </c>
      <c r="D80" s="1" t="s">
        <v>204</v>
      </c>
      <c r="E80" s="1" t="s">
        <v>205</v>
      </c>
      <c r="F80" s="1" t="s">
        <v>206</v>
      </c>
      <c r="G80" s="1" t="s">
        <v>207</v>
      </c>
      <c r="H80" s="1" t="s">
        <v>3</v>
      </c>
    </row>
    <row r="81">
      <c r="A81" s="1" t="s">
        <v>8</v>
      </c>
      <c r="B81" s="1" t="s">
        <v>9</v>
      </c>
      <c r="C81" s="1" t="s">
        <v>208</v>
      </c>
      <c r="D81" s="1" t="s">
        <v>209</v>
      </c>
      <c r="E81" s="1" t="s">
        <v>210</v>
      </c>
      <c r="F81" s="1" t="s">
        <v>211</v>
      </c>
      <c r="G81" s="1" t="s">
        <v>212</v>
      </c>
      <c r="H81" s="1" t="s">
        <v>6</v>
      </c>
    </row>
    <row r="82">
      <c r="A82" s="1" t="s">
        <v>8</v>
      </c>
      <c r="B82" s="1" t="s">
        <v>9</v>
      </c>
      <c r="C82" s="1" t="s">
        <v>213</v>
      </c>
      <c r="D82" s="1" t="s">
        <v>214</v>
      </c>
      <c r="E82" s="1" t="s">
        <v>215</v>
      </c>
      <c r="F82" s="1" t="s">
        <v>216</v>
      </c>
      <c r="G82" s="1" t="s">
        <v>22</v>
      </c>
      <c r="H82" s="1" t="s">
        <v>4</v>
      </c>
    </row>
    <row r="83">
      <c r="A83" s="1" t="s">
        <v>8</v>
      </c>
      <c r="B83" s="1" t="s">
        <v>9</v>
      </c>
      <c r="C83" s="1" t="s">
        <v>217</v>
      </c>
      <c r="D83" s="1">
        <v>13.0</v>
      </c>
      <c r="E83" s="1">
        <v>26.0</v>
      </c>
      <c r="F83" s="1">
        <v>7.0</v>
      </c>
      <c r="G83" s="1">
        <v>91.0</v>
      </c>
      <c r="H83" s="1" t="s">
        <v>3</v>
      </c>
    </row>
    <row r="84">
      <c r="A84" s="1" t="s">
        <v>8</v>
      </c>
      <c r="B84" s="1" t="s">
        <v>9</v>
      </c>
      <c r="C84" s="1" t="s">
        <v>218</v>
      </c>
      <c r="D84" s="1" t="s">
        <v>202</v>
      </c>
      <c r="E84" s="1" t="s">
        <v>201</v>
      </c>
      <c r="F84" s="1" t="s">
        <v>219</v>
      </c>
      <c r="G84" s="1" t="s">
        <v>220</v>
      </c>
      <c r="H84" s="1" t="s">
        <v>4</v>
      </c>
    </row>
    <row r="85">
      <c r="A85" s="1" t="s">
        <v>8</v>
      </c>
      <c r="B85" s="1" t="s">
        <v>9</v>
      </c>
      <c r="C85" s="1" t="s">
        <v>221</v>
      </c>
      <c r="D85" s="1" t="s">
        <v>21</v>
      </c>
      <c r="E85" s="1" t="s">
        <v>87</v>
      </c>
      <c r="F85" s="1" t="s">
        <v>88</v>
      </c>
      <c r="G85" s="1" t="s">
        <v>89</v>
      </c>
      <c r="H85" s="1" t="s">
        <v>4</v>
      </c>
    </row>
    <row r="86">
      <c r="A86" s="1" t="s">
        <v>8</v>
      </c>
      <c r="B86" s="1" t="s">
        <v>9</v>
      </c>
      <c r="C86" s="1" t="s">
        <v>222</v>
      </c>
      <c r="D86" s="1" t="s">
        <v>223</v>
      </c>
      <c r="E86" s="1" t="s">
        <v>15</v>
      </c>
      <c r="F86" s="1" t="s">
        <v>224</v>
      </c>
      <c r="G86" s="1" t="s">
        <v>225</v>
      </c>
      <c r="H86" s="1" t="s">
        <v>4</v>
      </c>
    </row>
    <row r="87">
      <c r="A87" s="1" t="s">
        <v>8</v>
      </c>
      <c r="B87" s="1" t="s">
        <v>9</v>
      </c>
      <c r="C87" s="1" t="s">
        <v>226</v>
      </c>
      <c r="D87" s="1">
        <v>1.0</v>
      </c>
      <c r="E87" s="1">
        <v>3.0</v>
      </c>
      <c r="F87" s="1">
        <v>5.0</v>
      </c>
      <c r="G87" s="1">
        <v>7.0</v>
      </c>
      <c r="H87" s="1" t="s">
        <v>4</v>
      </c>
    </row>
    <row r="88">
      <c r="A88" s="1" t="s">
        <v>8</v>
      </c>
      <c r="B88" s="1" t="s">
        <v>9</v>
      </c>
      <c r="C88" s="1" t="s">
        <v>227</v>
      </c>
      <c r="D88" s="1" t="s">
        <v>228</v>
      </c>
      <c r="E88" s="1" t="s">
        <v>229</v>
      </c>
      <c r="F88" s="1" t="s">
        <v>230</v>
      </c>
      <c r="G88" s="1" t="s">
        <v>231</v>
      </c>
      <c r="H88" s="1" t="s">
        <v>3</v>
      </c>
    </row>
    <row r="89">
      <c r="A89" s="1" t="s">
        <v>8</v>
      </c>
      <c r="B89" s="1" t="s">
        <v>9</v>
      </c>
      <c r="C89" s="1" t="s">
        <v>232</v>
      </c>
      <c r="D89" s="1" t="s">
        <v>71</v>
      </c>
      <c r="E89" s="1" t="s">
        <v>72</v>
      </c>
      <c r="F89" s="1" t="s">
        <v>233</v>
      </c>
      <c r="G89" s="1" t="s">
        <v>74</v>
      </c>
      <c r="H89" s="1" t="s">
        <v>3</v>
      </c>
    </row>
    <row r="90">
      <c r="A90" s="1" t="s">
        <v>8</v>
      </c>
      <c r="B90" s="1" t="s">
        <v>9</v>
      </c>
      <c r="C90" s="1" t="s">
        <v>234</v>
      </c>
      <c r="D90" s="1" t="s">
        <v>235</v>
      </c>
      <c r="E90" s="1" t="s">
        <v>236</v>
      </c>
      <c r="F90" s="1" t="s">
        <v>237</v>
      </c>
      <c r="G90" s="1" t="s">
        <v>238</v>
      </c>
      <c r="H90" s="1" t="s">
        <v>5</v>
      </c>
    </row>
    <row r="91">
      <c r="A91" s="1" t="s">
        <v>8</v>
      </c>
      <c r="B91" s="1" t="s">
        <v>9</v>
      </c>
      <c r="C91" s="1" t="s">
        <v>239</v>
      </c>
      <c r="D91" s="1" t="s">
        <v>65</v>
      </c>
      <c r="E91" s="1" t="s">
        <v>82</v>
      </c>
      <c r="F91" s="1" t="s">
        <v>83</v>
      </c>
      <c r="G91" s="1" t="s">
        <v>22</v>
      </c>
      <c r="H91" s="1" t="s">
        <v>4</v>
      </c>
    </row>
    <row r="92">
      <c r="A92" s="1" t="s">
        <v>8</v>
      </c>
      <c r="B92" s="1" t="s">
        <v>9</v>
      </c>
      <c r="C92" s="1" t="s">
        <v>240</v>
      </c>
      <c r="D92" s="1">
        <v>100.0</v>
      </c>
      <c r="E92" s="1">
        <v>140.0</v>
      </c>
      <c r="F92" s="1">
        <v>1400.0</v>
      </c>
      <c r="G92" s="1">
        <v>14.0</v>
      </c>
      <c r="H92" s="1" t="s">
        <v>4</v>
      </c>
    </row>
    <row r="93">
      <c r="A93" s="1" t="s">
        <v>8</v>
      </c>
      <c r="B93" s="1" t="s">
        <v>9</v>
      </c>
      <c r="C93" s="1" t="s">
        <v>241</v>
      </c>
      <c r="D93" s="1">
        <v>1150.0</v>
      </c>
      <c r="E93" s="1">
        <v>1250.0</v>
      </c>
      <c r="F93" s="1">
        <v>1350.0</v>
      </c>
      <c r="G93" s="1">
        <v>1450.0</v>
      </c>
      <c r="H93" s="1" t="s">
        <v>4</v>
      </c>
    </row>
    <row r="94">
      <c r="A94" s="1" t="s">
        <v>8</v>
      </c>
      <c r="B94" s="1" t="s">
        <v>9</v>
      </c>
      <c r="C94" s="1" t="s">
        <v>242</v>
      </c>
      <c r="D94" s="2">
        <v>46301.0</v>
      </c>
      <c r="E94" s="2">
        <v>46083.0</v>
      </c>
      <c r="F94" s="2">
        <v>46145.0</v>
      </c>
      <c r="G94" s="2">
        <v>46056.0</v>
      </c>
      <c r="H94" s="1" t="s">
        <v>4</v>
      </c>
    </row>
    <row r="95">
      <c r="A95" s="1" t="s">
        <v>8</v>
      </c>
      <c r="B95" s="1" t="s">
        <v>9</v>
      </c>
      <c r="C95" s="1" t="s">
        <v>243</v>
      </c>
      <c r="D95" s="1">
        <v>510.0</v>
      </c>
      <c r="E95" s="1">
        <v>610.0</v>
      </c>
      <c r="F95" s="1">
        <v>410.0</v>
      </c>
      <c r="G95" s="1">
        <v>520.0</v>
      </c>
      <c r="H95" s="1" t="s">
        <v>3</v>
      </c>
    </row>
    <row r="96">
      <c r="A96" s="1" t="s">
        <v>8</v>
      </c>
      <c r="B96" s="1" t="s">
        <v>9</v>
      </c>
      <c r="C96" s="1" t="s">
        <v>244</v>
      </c>
      <c r="D96" s="1">
        <v>0.0</v>
      </c>
      <c r="E96" s="1">
        <v>16.0</v>
      </c>
      <c r="F96" s="1">
        <v>1.0</v>
      </c>
      <c r="G96" s="1">
        <v>2.0</v>
      </c>
      <c r="H96" s="1" t="s">
        <v>5</v>
      </c>
    </row>
    <row r="97">
      <c r="A97" s="1" t="s">
        <v>8</v>
      </c>
      <c r="B97" s="1" t="s">
        <v>9</v>
      </c>
      <c r="C97" s="1" t="s">
        <v>245</v>
      </c>
      <c r="D97" s="1" t="s">
        <v>19</v>
      </c>
      <c r="E97" s="1" t="s">
        <v>20</v>
      </c>
      <c r="F97" s="1" t="s">
        <v>21</v>
      </c>
      <c r="G97" s="1" t="s">
        <v>24</v>
      </c>
      <c r="H97" s="1" t="s">
        <v>4</v>
      </c>
    </row>
    <row r="98">
      <c r="A98" s="1" t="s">
        <v>8</v>
      </c>
      <c r="B98" s="1" t="s">
        <v>9</v>
      </c>
      <c r="C98" s="1" t="s">
        <v>246</v>
      </c>
      <c r="D98" s="1" t="s">
        <v>247</v>
      </c>
      <c r="E98" s="1" t="s">
        <v>238</v>
      </c>
      <c r="F98" s="1" t="s">
        <v>236</v>
      </c>
      <c r="G98" s="1" t="s">
        <v>20</v>
      </c>
      <c r="H98" s="1" t="s">
        <v>4</v>
      </c>
    </row>
    <row r="99">
      <c r="A99" s="1" t="s">
        <v>8</v>
      </c>
      <c r="B99" s="1" t="s">
        <v>9</v>
      </c>
      <c r="C99" s="1" t="s">
        <v>248</v>
      </c>
      <c r="D99" s="1">
        <v>10.0</v>
      </c>
      <c r="E99" s="1">
        <v>12.0</v>
      </c>
      <c r="F99" s="1">
        <v>15.0</v>
      </c>
      <c r="G99" s="1">
        <v>18.0</v>
      </c>
      <c r="H99" s="1" t="s">
        <v>5</v>
      </c>
    </row>
    <row r="100">
      <c r="A100" s="1" t="s">
        <v>8</v>
      </c>
      <c r="B100" s="1" t="s">
        <v>9</v>
      </c>
      <c r="C100" s="1" t="s">
        <v>249</v>
      </c>
      <c r="D100" s="1" t="s">
        <v>250</v>
      </c>
      <c r="E100" s="1" t="s">
        <v>251</v>
      </c>
      <c r="F100" s="1" t="s">
        <v>252</v>
      </c>
      <c r="G100" s="1" t="s">
        <v>253</v>
      </c>
      <c r="H100" s="1" t="s">
        <v>3</v>
      </c>
    </row>
    <row r="101">
      <c r="A101" s="1" t="s">
        <v>8</v>
      </c>
      <c r="B101" s="1" t="s">
        <v>9</v>
      </c>
      <c r="C101" s="1" t="s">
        <v>254</v>
      </c>
      <c r="D101" s="1" t="s">
        <v>255</v>
      </c>
      <c r="E101" s="1" t="s">
        <v>256</v>
      </c>
      <c r="F101" s="1" t="s">
        <v>257</v>
      </c>
      <c r="G101" s="1" t="s">
        <v>258</v>
      </c>
      <c r="H101" s="1" t="s">
        <v>5</v>
      </c>
    </row>
    <row r="102">
      <c r="A102" s="1" t="s">
        <v>8</v>
      </c>
      <c r="B102" s="1" t="s">
        <v>9</v>
      </c>
      <c r="C102" s="1" t="s">
        <v>259</v>
      </c>
      <c r="D102" s="1" t="s">
        <v>260</v>
      </c>
      <c r="E102" s="1" t="s">
        <v>261</v>
      </c>
      <c r="F102" s="1" t="s">
        <v>262</v>
      </c>
      <c r="G102" s="1" t="s">
        <v>263</v>
      </c>
      <c r="H102" s="1" t="s">
        <v>3</v>
      </c>
    </row>
    <row r="103">
      <c r="A103" s="1" t="s">
        <v>8</v>
      </c>
      <c r="B103" s="1" t="s">
        <v>9</v>
      </c>
      <c r="C103" s="1" t="s">
        <v>264</v>
      </c>
      <c r="D103" s="1">
        <v>1.0</v>
      </c>
      <c r="E103" s="1">
        <v>5.0</v>
      </c>
      <c r="F103" s="1">
        <v>6.0</v>
      </c>
      <c r="G103" s="1">
        <v>0.0</v>
      </c>
      <c r="H103" s="1" t="s">
        <v>3</v>
      </c>
    </row>
    <row r="104">
      <c r="A104" s="1" t="s">
        <v>8</v>
      </c>
      <c r="B104" s="1" t="s">
        <v>9</v>
      </c>
      <c r="C104" s="1" t="s">
        <v>265</v>
      </c>
      <c r="D104" s="1" t="s">
        <v>266</v>
      </c>
      <c r="E104" s="1" t="s">
        <v>267</v>
      </c>
      <c r="F104" s="1" t="s">
        <v>268</v>
      </c>
      <c r="G104" s="1" t="s">
        <v>269</v>
      </c>
      <c r="H104" s="1" t="s">
        <v>5</v>
      </c>
    </row>
    <row r="105">
      <c r="A105" s="1" t="s">
        <v>8</v>
      </c>
      <c r="B105" s="1" t="s">
        <v>9</v>
      </c>
      <c r="C105" s="1" t="s">
        <v>270</v>
      </c>
      <c r="D105" s="1" t="s">
        <v>19</v>
      </c>
      <c r="E105" s="1" t="s">
        <v>20</v>
      </c>
      <c r="F105" s="1" t="s">
        <v>21</v>
      </c>
      <c r="G105" s="1" t="s">
        <v>24</v>
      </c>
      <c r="H105" s="1" t="s">
        <v>4</v>
      </c>
    </row>
    <row r="106">
      <c r="A106" s="1" t="s">
        <v>8</v>
      </c>
      <c r="B106" s="1" t="s">
        <v>9</v>
      </c>
      <c r="C106" s="1" t="s">
        <v>271</v>
      </c>
      <c r="D106" s="1">
        <v>2.0</v>
      </c>
      <c r="E106" s="1">
        <v>4.0</v>
      </c>
      <c r="F106" s="1">
        <v>6.0</v>
      </c>
      <c r="G106" s="1">
        <v>8.0</v>
      </c>
      <c r="H106" s="1" t="s">
        <v>4</v>
      </c>
    </row>
    <row r="107">
      <c r="A107" s="1" t="s">
        <v>8</v>
      </c>
      <c r="B107" s="1" t="s">
        <v>9</v>
      </c>
      <c r="C107" s="1" t="s">
        <v>272</v>
      </c>
      <c r="D107" s="1" t="s">
        <v>238</v>
      </c>
      <c r="E107" s="1" t="s">
        <v>19</v>
      </c>
      <c r="F107" s="1" t="s">
        <v>20</v>
      </c>
      <c r="G107" s="1" t="s">
        <v>235</v>
      </c>
      <c r="H107" s="1" t="s">
        <v>5</v>
      </c>
    </row>
    <row r="108">
      <c r="A108" s="1" t="s">
        <v>8</v>
      </c>
      <c r="B108" s="1" t="s">
        <v>9</v>
      </c>
      <c r="C108" s="1" t="s">
        <v>273</v>
      </c>
      <c r="D108" s="1">
        <v>1.0</v>
      </c>
      <c r="E108" s="1">
        <v>3.0</v>
      </c>
      <c r="F108" s="1">
        <v>4.0</v>
      </c>
      <c r="G108" s="1">
        <v>5.0</v>
      </c>
      <c r="H108" s="1" t="s">
        <v>5</v>
      </c>
    </row>
    <row r="109">
      <c r="A109" s="1" t="s">
        <v>8</v>
      </c>
      <c r="B109" s="1" t="s">
        <v>9</v>
      </c>
      <c r="C109" s="1" t="s">
        <v>274</v>
      </c>
      <c r="D109" s="1" t="s">
        <v>27</v>
      </c>
      <c r="E109" s="1" t="s">
        <v>28</v>
      </c>
      <c r="F109" s="1" t="s">
        <v>29</v>
      </c>
      <c r="G109" s="1" t="s">
        <v>32</v>
      </c>
      <c r="H109" s="1" t="s">
        <v>4</v>
      </c>
    </row>
    <row r="110">
      <c r="A110" s="1" t="s">
        <v>8</v>
      </c>
      <c r="B110" s="1" t="s">
        <v>9</v>
      </c>
      <c r="C110" s="1" t="s">
        <v>275</v>
      </c>
      <c r="D110" s="1">
        <v>100.0</v>
      </c>
      <c r="E110" s="1">
        <v>2520.0</v>
      </c>
      <c r="F110" s="1">
        <v>5040.0</v>
      </c>
      <c r="G110" s="1">
        <v>10.0</v>
      </c>
      <c r="H110" s="1" t="s">
        <v>4</v>
      </c>
    </row>
    <row r="111">
      <c r="A111" s="1" t="s">
        <v>8</v>
      </c>
      <c r="B111" s="1" t="s">
        <v>9</v>
      </c>
      <c r="C111" s="1" t="s">
        <v>276</v>
      </c>
      <c r="D111" s="1">
        <v>2.0</v>
      </c>
      <c r="E111" s="1">
        <v>3.0</v>
      </c>
      <c r="F111" s="1">
        <v>4.0</v>
      </c>
      <c r="G111" s="1">
        <v>5.0</v>
      </c>
      <c r="H111" s="1" t="s">
        <v>6</v>
      </c>
    </row>
    <row r="112">
      <c r="A112" s="1" t="s">
        <v>8</v>
      </c>
      <c r="B112" s="1" t="s">
        <v>9</v>
      </c>
      <c r="C112" s="1" t="s">
        <v>277</v>
      </c>
      <c r="D112" s="1" t="s">
        <v>278</v>
      </c>
      <c r="E112" s="1" t="s">
        <v>279</v>
      </c>
      <c r="F112" s="3">
        <v>36527.0</v>
      </c>
      <c r="G112" s="1" t="s">
        <v>280</v>
      </c>
      <c r="H112" s="1" t="s">
        <v>3</v>
      </c>
    </row>
    <row r="113">
      <c r="A113" s="1" t="s">
        <v>8</v>
      </c>
      <c r="B113" s="1" t="s">
        <v>9</v>
      </c>
      <c r="C113" s="1" t="s">
        <v>281</v>
      </c>
      <c r="D113" s="1" t="s">
        <v>282</v>
      </c>
      <c r="E113" s="1" t="s">
        <v>283</v>
      </c>
      <c r="F113" s="1" t="s">
        <v>284</v>
      </c>
      <c r="G113" s="1" t="s">
        <v>285</v>
      </c>
      <c r="H113" s="1" t="s">
        <v>4</v>
      </c>
    </row>
    <row r="114">
      <c r="A114" s="1" t="s">
        <v>8</v>
      </c>
      <c r="B114" s="1" t="s">
        <v>9</v>
      </c>
      <c r="C114" s="1" t="s">
        <v>286</v>
      </c>
      <c r="D114" s="1" t="s">
        <v>287</v>
      </c>
      <c r="E114" s="1" t="s">
        <v>288</v>
      </c>
      <c r="F114" s="1" t="s">
        <v>289</v>
      </c>
      <c r="G114" s="1" t="s">
        <v>290</v>
      </c>
      <c r="H114" s="1" t="s">
        <v>5</v>
      </c>
    </row>
    <row r="115">
      <c r="A115" s="1" t="s">
        <v>8</v>
      </c>
      <c r="B115" s="1" t="s">
        <v>9</v>
      </c>
      <c r="C115" s="1" t="s">
        <v>291</v>
      </c>
      <c r="D115" s="1" t="s">
        <v>229</v>
      </c>
      <c r="E115" s="1" t="s">
        <v>228</v>
      </c>
      <c r="F115" s="1" t="s">
        <v>230</v>
      </c>
      <c r="G115" s="1" t="s">
        <v>292</v>
      </c>
      <c r="H115" s="1" t="s">
        <v>4</v>
      </c>
    </row>
    <row r="116">
      <c r="A116" s="1" t="s">
        <v>8</v>
      </c>
      <c r="B116" s="1" t="s">
        <v>9</v>
      </c>
      <c r="C116" s="1" t="s">
        <v>293</v>
      </c>
      <c r="D116" s="1">
        <v>13.0</v>
      </c>
      <c r="E116" s="1">
        <v>65.0</v>
      </c>
      <c r="F116" s="1">
        <v>875.0</v>
      </c>
      <c r="G116" s="1">
        <v>1750.0</v>
      </c>
      <c r="H116" s="1" t="s">
        <v>3</v>
      </c>
    </row>
    <row r="117">
      <c r="A117" s="1" t="s">
        <v>8</v>
      </c>
      <c r="B117" s="1" t="s">
        <v>9</v>
      </c>
      <c r="C117" s="1" t="s">
        <v>294</v>
      </c>
      <c r="D117" s="1" t="s">
        <v>295</v>
      </c>
      <c r="E117" s="1" t="s">
        <v>296</v>
      </c>
      <c r="F117" s="1" t="s">
        <v>297</v>
      </c>
      <c r="G117" s="1" t="s">
        <v>298</v>
      </c>
      <c r="H117" s="1" t="s">
        <v>3</v>
      </c>
    </row>
    <row r="118">
      <c r="A118" s="1" t="s">
        <v>8</v>
      </c>
      <c r="B118" s="1" t="s">
        <v>9</v>
      </c>
      <c r="C118" s="1" t="s">
        <v>299</v>
      </c>
      <c r="D118" s="1" t="s">
        <v>300</v>
      </c>
      <c r="E118" s="1" t="s">
        <v>301</v>
      </c>
      <c r="F118" s="1" t="s">
        <v>302</v>
      </c>
      <c r="G118" s="1" t="s">
        <v>303</v>
      </c>
      <c r="H118" s="1" t="s">
        <v>4</v>
      </c>
    </row>
    <row r="119">
      <c r="A119" s="1" t="s">
        <v>8</v>
      </c>
      <c r="B119" s="1" t="s">
        <v>9</v>
      </c>
      <c r="C119" s="1" t="s">
        <v>304</v>
      </c>
      <c r="D119" s="1">
        <v>0.44</v>
      </c>
      <c r="E119" s="1">
        <v>0.45</v>
      </c>
      <c r="F119" s="1">
        <v>0.46</v>
      </c>
      <c r="G119" s="1">
        <v>0.48</v>
      </c>
      <c r="H119" s="1" t="s">
        <v>3</v>
      </c>
    </row>
    <row r="120">
      <c r="A120" s="1" t="s">
        <v>8</v>
      </c>
      <c r="B120" s="1" t="s">
        <v>9</v>
      </c>
      <c r="C120" s="1" t="s">
        <v>305</v>
      </c>
      <c r="D120" s="1" t="s">
        <v>306</v>
      </c>
      <c r="E120" s="1" t="s">
        <v>307</v>
      </c>
      <c r="F120" s="1" t="s">
        <v>308</v>
      </c>
      <c r="G120" s="1" t="s">
        <v>309</v>
      </c>
      <c r="H120" s="1" t="s">
        <v>4</v>
      </c>
    </row>
    <row r="121">
      <c r="A121" s="1" t="s">
        <v>8</v>
      </c>
      <c r="B121" s="1" t="s">
        <v>9</v>
      </c>
      <c r="C121" s="1" t="s">
        <v>310</v>
      </c>
      <c r="D121" s="1" t="s">
        <v>306</v>
      </c>
      <c r="E121" s="1" t="s">
        <v>307</v>
      </c>
      <c r="F121" s="1" t="s">
        <v>308</v>
      </c>
      <c r="G121" s="1" t="s">
        <v>309</v>
      </c>
      <c r="H121" s="1" t="s">
        <v>5</v>
      </c>
    </row>
    <row r="122">
      <c r="A122" s="1" t="s">
        <v>8</v>
      </c>
      <c r="B122" s="1" t="s">
        <v>9</v>
      </c>
      <c r="C122" s="1" t="s">
        <v>311</v>
      </c>
      <c r="D122" s="1" t="s">
        <v>145</v>
      </c>
      <c r="E122" s="1" t="s">
        <v>103</v>
      </c>
      <c r="F122" s="1" t="s">
        <v>146</v>
      </c>
      <c r="G122" s="1" t="s">
        <v>104</v>
      </c>
      <c r="H122" s="1" t="s">
        <v>4</v>
      </c>
    </row>
    <row r="123">
      <c r="A123" s="1" t="s">
        <v>8</v>
      </c>
      <c r="B123" s="1" t="s">
        <v>9</v>
      </c>
      <c r="C123" s="1" t="s">
        <v>312</v>
      </c>
      <c r="D123" s="1">
        <v>4.0</v>
      </c>
      <c r="E123" s="1">
        <v>8.0</v>
      </c>
      <c r="F123" s="1">
        <v>16.0</v>
      </c>
      <c r="G123" s="1">
        <v>32.0</v>
      </c>
      <c r="H123" s="1" t="s">
        <v>4</v>
      </c>
    </row>
    <row r="124">
      <c r="A124" s="1" t="s">
        <v>8</v>
      </c>
      <c r="B124" s="1" t="s">
        <v>9</v>
      </c>
      <c r="C124" s="1" t="s">
        <v>313</v>
      </c>
      <c r="D124" s="1" t="s">
        <v>314</v>
      </c>
      <c r="E124" s="1" t="s">
        <v>315</v>
      </c>
      <c r="F124" s="1" t="s">
        <v>316</v>
      </c>
      <c r="G124" s="1" t="s">
        <v>317</v>
      </c>
      <c r="H124" s="1" t="s">
        <v>4</v>
      </c>
    </row>
    <row r="125">
      <c r="A125" s="1" t="s">
        <v>8</v>
      </c>
      <c r="B125" s="1" t="s">
        <v>9</v>
      </c>
      <c r="C125" s="1" t="s">
        <v>318</v>
      </c>
      <c r="D125" s="1" t="s">
        <v>65</v>
      </c>
      <c r="E125" s="1" t="s">
        <v>66</v>
      </c>
      <c r="F125" s="1" t="s">
        <v>67</v>
      </c>
      <c r="G125" s="1" t="s">
        <v>22</v>
      </c>
      <c r="H125" s="1" t="s">
        <v>3</v>
      </c>
    </row>
    <row r="126">
      <c r="A126" s="1" t="s">
        <v>8</v>
      </c>
      <c r="B126" s="1" t="s">
        <v>9</v>
      </c>
      <c r="C126" s="1" t="s">
        <v>319</v>
      </c>
      <c r="D126" s="1" t="s">
        <v>27</v>
      </c>
      <c r="E126" s="1" t="s">
        <v>28</v>
      </c>
      <c r="F126" s="1" t="s">
        <v>320</v>
      </c>
      <c r="G126" s="1" t="s">
        <v>31</v>
      </c>
      <c r="H126" s="1" t="s">
        <v>6</v>
      </c>
    </row>
    <row r="127">
      <c r="A127" s="1" t="s">
        <v>8</v>
      </c>
      <c r="B127" s="1" t="s">
        <v>9</v>
      </c>
      <c r="C127" s="1" t="s">
        <v>321</v>
      </c>
      <c r="D127" s="1" t="s">
        <v>19</v>
      </c>
      <c r="E127" s="1" t="s">
        <v>20</v>
      </c>
      <c r="F127" s="1" t="s">
        <v>322</v>
      </c>
      <c r="G127" s="1" t="s">
        <v>22</v>
      </c>
      <c r="H127" s="1" t="s">
        <v>3</v>
      </c>
    </row>
    <row r="128">
      <c r="A128" s="1" t="s">
        <v>8</v>
      </c>
      <c r="B128" s="1" t="s">
        <v>9</v>
      </c>
      <c r="C128" s="1" t="s">
        <v>323</v>
      </c>
      <c r="D128" s="1">
        <v>10.0</v>
      </c>
      <c r="E128" s="1">
        <v>25.0</v>
      </c>
      <c r="F128" s="1">
        <v>50.0</v>
      </c>
      <c r="G128" s="1">
        <v>75.0</v>
      </c>
      <c r="H128" s="1" t="s">
        <v>4</v>
      </c>
    </row>
    <row r="129">
      <c r="A129" s="1" t="s">
        <v>8</v>
      </c>
      <c r="B129" s="1" t="s">
        <v>9</v>
      </c>
      <c r="C129" s="1" t="s">
        <v>324</v>
      </c>
      <c r="D129" s="1">
        <v>24.0</v>
      </c>
      <c r="E129" s="1">
        <v>16.0</v>
      </c>
      <c r="F129" s="1">
        <v>32.0</v>
      </c>
      <c r="G129" s="1">
        <v>48.0</v>
      </c>
      <c r="H129" s="1" t="s">
        <v>3</v>
      </c>
    </row>
    <row r="130">
      <c r="A130" s="1" t="s">
        <v>8</v>
      </c>
      <c r="B130" s="1" t="s">
        <v>9</v>
      </c>
      <c r="C130" s="1" t="s">
        <v>325</v>
      </c>
      <c r="D130" s="1">
        <v>16.0</v>
      </c>
      <c r="E130" s="1">
        <v>36.0</v>
      </c>
      <c r="F130" s="1">
        <v>64.0</v>
      </c>
      <c r="G130" s="1">
        <v>81.0</v>
      </c>
      <c r="H130" s="1" t="s">
        <v>5</v>
      </c>
    </row>
    <row r="131">
      <c r="A131" s="1" t="s">
        <v>8</v>
      </c>
      <c r="B131" s="1" t="s">
        <v>9</v>
      </c>
      <c r="C131" s="1" t="s">
        <v>326</v>
      </c>
      <c r="D131" s="1">
        <v>5.0</v>
      </c>
      <c r="E131" s="1">
        <v>6.0</v>
      </c>
      <c r="F131" s="1">
        <v>7.0</v>
      </c>
      <c r="G131" s="1">
        <v>8.0</v>
      </c>
      <c r="H131" s="1" t="s">
        <v>4</v>
      </c>
    </row>
    <row r="132">
      <c r="A132" s="1" t="s">
        <v>8</v>
      </c>
      <c r="B132" s="1" t="s">
        <v>9</v>
      </c>
      <c r="C132" s="1" t="s">
        <v>327</v>
      </c>
      <c r="D132" s="1" t="s">
        <v>20</v>
      </c>
      <c r="E132" s="1" t="s">
        <v>328</v>
      </c>
      <c r="F132" s="1" t="s">
        <v>66</v>
      </c>
      <c r="G132" s="1" t="s">
        <v>21</v>
      </c>
      <c r="H132" s="1" t="s">
        <v>4</v>
      </c>
    </row>
    <row r="133">
      <c r="A133" s="1" t="s">
        <v>8</v>
      </c>
      <c r="B133" s="1" t="s">
        <v>9</v>
      </c>
      <c r="C133" s="1" t="s">
        <v>329</v>
      </c>
      <c r="D133" s="1" t="s">
        <v>330</v>
      </c>
      <c r="E133" s="1" t="s">
        <v>331</v>
      </c>
      <c r="F133" s="1" t="s">
        <v>332</v>
      </c>
      <c r="G133" s="1" t="s">
        <v>333</v>
      </c>
      <c r="H133" s="1" t="s">
        <v>6</v>
      </c>
    </row>
    <row r="134">
      <c r="A134" s="1" t="s">
        <v>8</v>
      </c>
      <c r="B134" s="1" t="s">
        <v>9</v>
      </c>
      <c r="C134" s="1" t="s">
        <v>334</v>
      </c>
      <c r="D134" s="1" t="s">
        <v>335</v>
      </c>
      <c r="E134" s="1" t="s">
        <v>336</v>
      </c>
      <c r="F134" s="1" t="s">
        <v>337</v>
      </c>
      <c r="G134" s="1" t="s">
        <v>338</v>
      </c>
      <c r="H134" s="1" t="s">
        <v>4</v>
      </c>
    </row>
    <row r="135">
      <c r="A135" s="1" t="s">
        <v>8</v>
      </c>
      <c r="B135" s="1" t="s">
        <v>9</v>
      </c>
      <c r="C135" s="1" t="s">
        <v>339</v>
      </c>
      <c r="D135" s="1">
        <v>4.0</v>
      </c>
      <c r="E135" s="1">
        <v>6.0</v>
      </c>
      <c r="F135" s="1">
        <v>9.0</v>
      </c>
      <c r="G135" s="1">
        <v>15.0</v>
      </c>
      <c r="H135" s="1" t="s">
        <v>5</v>
      </c>
    </row>
    <row r="136">
      <c r="A136" s="1" t="s">
        <v>8</v>
      </c>
      <c r="B136" s="1" t="s">
        <v>9</v>
      </c>
      <c r="C136" s="1" t="s">
        <v>340</v>
      </c>
      <c r="D136" s="1" t="s">
        <v>341</v>
      </c>
      <c r="E136" s="1" t="s">
        <v>342</v>
      </c>
      <c r="F136" s="1" t="s">
        <v>343</v>
      </c>
      <c r="G136" s="1" t="s">
        <v>344</v>
      </c>
      <c r="H136" s="1" t="s">
        <v>5</v>
      </c>
    </row>
    <row r="137">
      <c r="A137" s="1" t="s">
        <v>8</v>
      </c>
      <c r="B137" s="1" t="s">
        <v>9</v>
      </c>
      <c r="C137" s="1" t="s">
        <v>345</v>
      </c>
      <c r="D137" s="1">
        <v>0.0</v>
      </c>
      <c r="E137" s="1">
        <v>1.0</v>
      </c>
      <c r="F137" s="1">
        <v>2.0</v>
      </c>
      <c r="G137" s="1">
        <v>3.0</v>
      </c>
      <c r="H137" s="1" t="s">
        <v>5</v>
      </c>
    </row>
    <row r="138">
      <c r="A138" s="1" t="s">
        <v>8</v>
      </c>
      <c r="B138" s="1" t="s">
        <v>9</v>
      </c>
      <c r="C138" s="1" t="s">
        <v>346</v>
      </c>
      <c r="D138" s="1">
        <v>26.0</v>
      </c>
      <c r="E138" s="1">
        <v>52.0</v>
      </c>
      <c r="F138" s="1">
        <v>338.0</v>
      </c>
      <c r="G138" s="1">
        <v>13.0</v>
      </c>
      <c r="H138" s="1" t="s">
        <v>5</v>
      </c>
    </row>
    <row r="139">
      <c r="A139" s="1" t="s">
        <v>8</v>
      </c>
      <c r="B139" s="1" t="s">
        <v>9</v>
      </c>
      <c r="C139" s="1" t="s">
        <v>347</v>
      </c>
      <c r="D139" s="1" t="s">
        <v>348</v>
      </c>
      <c r="E139" s="1" t="s">
        <v>349</v>
      </c>
      <c r="F139" s="1" t="s">
        <v>350</v>
      </c>
      <c r="G139" s="1" t="s">
        <v>351</v>
      </c>
      <c r="H139" s="1" t="s">
        <v>6</v>
      </c>
    </row>
    <row r="140">
      <c r="A140" s="1" t="s">
        <v>8</v>
      </c>
      <c r="B140" s="1" t="s">
        <v>9</v>
      </c>
      <c r="C140" s="1" t="s">
        <v>352</v>
      </c>
      <c r="D140" s="1">
        <v>0.13</v>
      </c>
      <c r="E140" s="1">
        <v>0.1313</v>
      </c>
      <c r="F140" s="1" t="s">
        <v>353</v>
      </c>
      <c r="G140" s="1">
        <v>1.3</v>
      </c>
      <c r="H140" s="1" t="s">
        <v>3</v>
      </c>
    </row>
    <row r="141">
      <c r="A141" s="1" t="s">
        <v>8</v>
      </c>
      <c r="B141" s="1" t="s">
        <v>9</v>
      </c>
      <c r="C141" s="1" t="s">
        <v>354</v>
      </c>
      <c r="D141" s="1">
        <v>420.0</v>
      </c>
      <c r="E141" s="1">
        <v>140.0</v>
      </c>
      <c r="F141" s="1">
        <v>120.0</v>
      </c>
      <c r="G141" s="1">
        <v>210.0</v>
      </c>
      <c r="H141"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356</v>
      </c>
      <c r="C2" s="1" t="s">
        <v>357</v>
      </c>
      <c r="D2" s="1">
        <v>1.0</v>
      </c>
      <c r="E2" s="1">
        <v>2.0</v>
      </c>
      <c r="F2" s="1">
        <v>3.0</v>
      </c>
      <c r="G2" s="1">
        <v>0.0</v>
      </c>
      <c r="H2" s="1" t="s">
        <v>3</v>
      </c>
    </row>
    <row r="3">
      <c r="A3" s="1" t="s">
        <v>355</v>
      </c>
      <c r="B3" s="1" t="s">
        <v>356</v>
      </c>
      <c r="C3" s="1" t="s">
        <v>358</v>
      </c>
      <c r="D3" s="2">
        <v>46184.0</v>
      </c>
      <c r="E3" s="1" t="s">
        <v>359</v>
      </c>
      <c r="F3" s="2">
        <v>46054.0</v>
      </c>
      <c r="G3" s="1" t="s">
        <v>360</v>
      </c>
      <c r="H3" s="1" t="s">
        <v>3</v>
      </c>
    </row>
    <row r="4">
      <c r="A4" s="1" t="s">
        <v>355</v>
      </c>
      <c r="B4" s="1" t="s">
        <v>356</v>
      </c>
      <c r="C4" s="1" t="s">
        <v>361</v>
      </c>
      <c r="D4" s="1">
        <v>12.0</v>
      </c>
      <c r="E4" s="1">
        <v>-12.0</v>
      </c>
      <c r="F4" s="1">
        <v>20.0</v>
      </c>
      <c r="G4" s="1">
        <v>-20.0</v>
      </c>
      <c r="H4" s="1" t="s">
        <v>3</v>
      </c>
    </row>
    <row r="5">
      <c r="A5" s="1" t="s">
        <v>355</v>
      </c>
      <c r="B5" s="1" t="s">
        <v>356</v>
      </c>
      <c r="C5" s="1" t="s">
        <v>362</v>
      </c>
      <c r="D5" s="1">
        <v>-1.0</v>
      </c>
      <c r="E5" s="1">
        <v>1.0</v>
      </c>
      <c r="F5" s="1">
        <v>4.0</v>
      </c>
      <c r="G5" s="1">
        <v>-4.0</v>
      </c>
      <c r="H5" s="1" t="s">
        <v>4</v>
      </c>
    </row>
    <row r="6">
      <c r="A6" s="1" t="s">
        <v>355</v>
      </c>
      <c r="B6" s="1" t="s">
        <v>356</v>
      </c>
      <c r="C6" s="1" t="s">
        <v>363</v>
      </c>
      <c r="D6" s="1" t="s">
        <v>364</v>
      </c>
      <c r="E6" s="1" t="s">
        <v>365</v>
      </c>
      <c r="F6" s="1" t="s">
        <v>366</v>
      </c>
      <c r="G6" s="1" t="s">
        <v>367</v>
      </c>
      <c r="H6" s="1" t="s">
        <v>5</v>
      </c>
    </row>
    <row r="7">
      <c r="A7" s="1" t="s">
        <v>355</v>
      </c>
      <c r="B7" s="1" t="s">
        <v>356</v>
      </c>
      <c r="C7" s="1" t="s">
        <v>368</v>
      </c>
      <c r="D7" s="1" t="s">
        <v>369</v>
      </c>
      <c r="E7" s="1" t="s">
        <v>370</v>
      </c>
      <c r="F7" s="1" t="s">
        <v>371</v>
      </c>
      <c r="G7" s="1" t="s">
        <v>22</v>
      </c>
      <c r="H7" s="1" t="s">
        <v>5</v>
      </c>
    </row>
    <row r="8">
      <c r="A8" s="1" t="s">
        <v>355</v>
      </c>
      <c r="B8" s="1" t="s">
        <v>356</v>
      </c>
      <c r="C8" s="1" t="s">
        <v>372</v>
      </c>
      <c r="D8" s="1" t="s">
        <v>373</v>
      </c>
      <c r="E8" s="1" t="s">
        <v>374</v>
      </c>
      <c r="F8" s="1" t="s">
        <v>375</v>
      </c>
      <c r="G8" s="1" t="s">
        <v>376</v>
      </c>
      <c r="H8" s="1" t="s">
        <v>5</v>
      </c>
    </row>
    <row r="9">
      <c r="A9" s="1" t="s">
        <v>355</v>
      </c>
      <c r="B9" s="1" t="s">
        <v>356</v>
      </c>
      <c r="C9" s="1" t="s">
        <v>377</v>
      </c>
      <c r="D9" s="1" t="s">
        <v>378</v>
      </c>
      <c r="E9" s="1" t="s">
        <v>379</v>
      </c>
      <c r="F9" s="1" t="s">
        <v>380</v>
      </c>
      <c r="G9" s="1" t="s">
        <v>22</v>
      </c>
      <c r="H9" s="1" t="s">
        <v>4</v>
      </c>
    </row>
    <row r="10">
      <c r="A10" s="1" t="s">
        <v>355</v>
      </c>
      <c r="B10" s="1" t="s">
        <v>356</v>
      </c>
      <c r="C10" s="1" t="s">
        <v>381</v>
      </c>
      <c r="D10" s="1" t="s">
        <v>382</v>
      </c>
      <c r="E10" s="1" t="s">
        <v>383</v>
      </c>
      <c r="F10" s="1" t="s">
        <v>384</v>
      </c>
      <c r="G10" s="1" t="s">
        <v>385</v>
      </c>
      <c r="H10" s="1" t="s">
        <v>4</v>
      </c>
    </row>
    <row r="11">
      <c r="A11" s="1" t="s">
        <v>355</v>
      </c>
      <c r="B11" s="1" t="s">
        <v>356</v>
      </c>
      <c r="C11" s="1" t="s">
        <v>386</v>
      </c>
      <c r="D11" s="2">
        <v>46145.0</v>
      </c>
      <c r="E11" s="2">
        <v>46086.0</v>
      </c>
      <c r="F11" s="1" t="s">
        <v>387</v>
      </c>
      <c r="G11" s="1" t="s">
        <v>388</v>
      </c>
      <c r="H11" s="1" t="s">
        <v>3</v>
      </c>
    </row>
    <row r="12">
      <c r="A12" s="1" t="s">
        <v>355</v>
      </c>
      <c r="B12" s="1" t="s">
        <v>356</v>
      </c>
      <c r="C12" s="1" t="s">
        <v>389</v>
      </c>
      <c r="D12" s="1" t="s">
        <v>390</v>
      </c>
      <c r="E12" s="1" t="s">
        <v>391</v>
      </c>
      <c r="F12" s="1" t="s">
        <v>392</v>
      </c>
      <c r="G12" s="1" t="s">
        <v>393</v>
      </c>
      <c r="H12" s="1" t="s">
        <v>4</v>
      </c>
    </row>
    <row r="13">
      <c r="A13" s="1" t="s">
        <v>355</v>
      </c>
      <c r="B13" s="1" t="s">
        <v>356</v>
      </c>
      <c r="C13" s="1" t="s">
        <v>394</v>
      </c>
      <c r="D13" s="1">
        <v>5.0</v>
      </c>
      <c r="E13" s="1">
        <v>-5.0</v>
      </c>
      <c r="F13" s="1">
        <v>2.0</v>
      </c>
      <c r="G13" s="1">
        <v>-2.0</v>
      </c>
      <c r="H13" s="1" t="s">
        <v>3</v>
      </c>
    </row>
    <row r="14">
      <c r="A14" s="1" t="s">
        <v>355</v>
      </c>
      <c r="B14" s="1" t="s">
        <v>356</v>
      </c>
      <c r="C14" s="1" t="s">
        <v>395</v>
      </c>
      <c r="D14" s="2">
        <v>46054.0</v>
      </c>
      <c r="E14" s="1">
        <v>2.0</v>
      </c>
      <c r="F14" s="1">
        <v>3.0</v>
      </c>
      <c r="G14" s="1">
        <v>0.0</v>
      </c>
      <c r="H14" s="1" t="s">
        <v>5</v>
      </c>
    </row>
    <row r="15">
      <c r="A15" s="1" t="s">
        <v>355</v>
      </c>
      <c r="B15" s="1" t="s">
        <v>356</v>
      </c>
      <c r="C15" s="1" t="s">
        <v>396</v>
      </c>
      <c r="D15" s="1" t="s">
        <v>397</v>
      </c>
      <c r="E15" s="1" t="s">
        <v>382</v>
      </c>
      <c r="F15" s="1" t="s">
        <v>398</v>
      </c>
      <c r="G15" s="1" t="s">
        <v>22</v>
      </c>
      <c r="H15" s="1" t="s">
        <v>4</v>
      </c>
    </row>
    <row r="16">
      <c r="A16" s="1" t="s">
        <v>355</v>
      </c>
      <c r="B16" s="1" t="s">
        <v>356</v>
      </c>
      <c r="C16" s="1" t="s">
        <v>399</v>
      </c>
      <c r="D16" s="1" t="s">
        <v>400</v>
      </c>
      <c r="E16" s="1" t="s">
        <v>401</v>
      </c>
      <c r="F16" s="1" t="s">
        <v>402</v>
      </c>
      <c r="G16" s="1" t="s">
        <v>403</v>
      </c>
      <c r="H16" s="1" t="s">
        <v>4</v>
      </c>
    </row>
    <row r="17">
      <c r="A17" s="1" t="s">
        <v>355</v>
      </c>
      <c r="B17" s="1" t="s">
        <v>356</v>
      </c>
      <c r="C17" s="1" t="s">
        <v>404</v>
      </c>
      <c r="D17" s="1" t="s">
        <v>405</v>
      </c>
      <c r="E17" s="1" t="s">
        <v>406</v>
      </c>
      <c r="F17" s="1" t="s">
        <v>407</v>
      </c>
      <c r="G17" s="1" t="s">
        <v>408</v>
      </c>
      <c r="H17" s="1" t="s">
        <v>5</v>
      </c>
    </row>
    <row r="18">
      <c r="A18" s="1" t="s">
        <v>355</v>
      </c>
      <c r="B18" s="1" t="s">
        <v>356</v>
      </c>
      <c r="C18" s="1" t="s">
        <v>409</v>
      </c>
      <c r="D18" s="1" t="s">
        <v>410</v>
      </c>
      <c r="E18" s="1" t="s">
        <v>411</v>
      </c>
      <c r="F18" s="1" t="s">
        <v>412</v>
      </c>
      <c r="G18" s="1" t="s">
        <v>413</v>
      </c>
      <c r="H18" s="1" t="s">
        <v>3</v>
      </c>
    </row>
    <row r="19">
      <c r="A19" s="1" t="s">
        <v>355</v>
      </c>
      <c r="B19" s="1" t="s">
        <v>356</v>
      </c>
      <c r="C19" s="1" t="s">
        <v>414</v>
      </c>
      <c r="D19" s="1">
        <v>2.0</v>
      </c>
      <c r="E19" s="1">
        <v>4.0</v>
      </c>
      <c r="F19" s="1">
        <v>0.0</v>
      </c>
      <c r="G19" s="1">
        <v>3.0</v>
      </c>
      <c r="H19" s="1" t="s">
        <v>4</v>
      </c>
    </row>
    <row r="20">
      <c r="A20" s="1" t="s">
        <v>355</v>
      </c>
      <c r="B20" s="1" t="s">
        <v>356</v>
      </c>
      <c r="C20" s="1" t="s">
        <v>415</v>
      </c>
      <c r="D20" s="1">
        <v>1.0</v>
      </c>
      <c r="E20" s="1">
        <v>2.0</v>
      </c>
      <c r="F20" s="1">
        <v>3.0</v>
      </c>
      <c r="G20" s="1">
        <v>4.0</v>
      </c>
      <c r="H20" s="1" t="s">
        <v>5</v>
      </c>
    </row>
    <row r="21">
      <c r="A21" s="1" t="s">
        <v>355</v>
      </c>
      <c r="B21" s="1" t="s">
        <v>356</v>
      </c>
      <c r="C21" s="1" t="s">
        <v>416</v>
      </c>
      <c r="D21" s="1">
        <v>1.0</v>
      </c>
      <c r="E21" s="1">
        <v>2.0</v>
      </c>
      <c r="F21" s="1">
        <v>3.0</v>
      </c>
      <c r="G21" s="1" t="s">
        <v>417</v>
      </c>
      <c r="H21" s="1" t="s">
        <v>4</v>
      </c>
    </row>
    <row r="22">
      <c r="A22" s="1" t="s">
        <v>355</v>
      </c>
      <c r="B22" s="1" t="s">
        <v>356</v>
      </c>
      <c r="C22" s="1" t="s">
        <v>418</v>
      </c>
      <c r="D22" s="1" t="s">
        <v>419</v>
      </c>
      <c r="E22" s="1" t="s">
        <v>420</v>
      </c>
      <c r="F22" s="1" t="s">
        <v>421</v>
      </c>
      <c r="G22" s="1" t="s">
        <v>422</v>
      </c>
      <c r="H22" s="1" t="s">
        <v>5</v>
      </c>
    </row>
    <row r="23">
      <c r="A23" s="1" t="s">
        <v>355</v>
      </c>
      <c r="B23" s="1" t="s">
        <v>356</v>
      </c>
      <c r="C23" s="1" t="s">
        <v>423</v>
      </c>
      <c r="D23" s="1" t="s">
        <v>424</v>
      </c>
      <c r="E23" s="1" t="s">
        <v>425</v>
      </c>
      <c r="F23" s="1" t="s">
        <v>426</v>
      </c>
      <c r="G23" s="1" t="s">
        <v>427</v>
      </c>
      <c r="H23" s="1" t="s">
        <v>3</v>
      </c>
    </row>
    <row r="24">
      <c r="A24" s="1" t="s">
        <v>355</v>
      </c>
      <c r="B24" s="1" t="s">
        <v>356</v>
      </c>
      <c r="C24" s="1" t="s">
        <v>428</v>
      </c>
      <c r="D24" s="1">
        <v>-8.0</v>
      </c>
      <c r="E24" s="1">
        <v>12.0</v>
      </c>
      <c r="F24" s="1">
        <v>-12.0</v>
      </c>
      <c r="G24" s="1">
        <v>0.0</v>
      </c>
      <c r="H24" s="1" t="s">
        <v>4</v>
      </c>
    </row>
    <row r="25">
      <c r="A25" s="1" t="s">
        <v>355</v>
      </c>
      <c r="B25" s="1" t="s">
        <v>356</v>
      </c>
      <c r="C25" s="1" t="s">
        <v>429</v>
      </c>
      <c r="D25" s="1">
        <v>8.0</v>
      </c>
      <c r="E25" s="1">
        <v>-8.0</v>
      </c>
      <c r="F25" s="1">
        <v>6.0</v>
      </c>
      <c r="G25" s="1">
        <v>-6.0</v>
      </c>
      <c r="H25" s="1" t="s">
        <v>5</v>
      </c>
    </row>
    <row r="26">
      <c r="A26" s="1" t="s">
        <v>355</v>
      </c>
      <c r="B26" s="1" t="s">
        <v>356</v>
      </c>
      <c r="C26" s="1" t="s">
        <v>430</v>
      </c>
      <c r="D26" s="1">
        <v>-1.0</v>
      </c>
      <c r="E26" s="1">
        <v>1.0</v>
      </c>
      <c r="F26" s="2">
        <v>46113.0</v>
      </c>
      <c r="G26" s="1">
        <v>0.0</v>
      </c>
      <c r="H26" s="1" t="s">
        <v>5</v>
      </c>
    </row>
    <row r="27">
      <c r="A27" s="1" t="s">
        <v>355</v>
      </c>
      <c r="B27" s="1" t="s">
        <v>356</v>
      </c>
      <c r="C27" s="1" t="s">
        <v>431</v>
      </c>
      <c r="D27" s="1">
        <v>1.0</v>
      </c>
      <c r="E27" s="1">
        <v>-1.0</v>
      </c>
      <c r="F27" s="1" t="s">
        <v>27</v>
      </c>
      <c r="G27" s="1" t="s">
        <v>432</v>
      </c>
      <c r="H27" s="1" t="s">
        <v>4</v>
      </c>
    </row>
    <row r="28">
      <c r="A28" s="1" t="s">
        <v>355</v>
      </c>
      <c r="B28" s="1" t="s">
        <v>356</v>
      </c>
      <c r="C28" s="1" t="s">
        <v>433</v>
      </c>
      <c r="D28" s="1" t="s">
        <v>434</v>
      </c>
      <c r="E28" s="1" t="s">
        <v>435</v>
      </c>
      <c r="F28" s="1" t="s">
        <v>436</v>
      </c>
      <c r="G28" s="1" t="s">
        <v>437</v>
      </c>
      <c r="H28" s="1" t="s">
        <v>3</v>
      </c>
    </row>
    <row r="29">
      <c r="A29" s="1" t="s">
        <v>355</v>
      </c>
      <c r="B29" s="1" t="s">
        <v>356</v>
      </c>
      <c r="C29" s="1" t="s">
        <v>438</v>
      </c>
      <c r="D29" s="1">
        <v>-1.0</v>
      </c>
      <c r="E29" s="1">
        <v>1.0</v>
      </c>
      <c r="F29" s="1">
        <v>0.0</v>
      </c>
      <c r="G29" s="1">
        <v>2.0</v>
      </c>
      <c r="H29" s="1" t="s">
        <v>3</v>
      </c>
    </row>
    <row r="30">
      <c r="A30" s="1" t="s">
        <v>355</v>
      </c>
      <c r="B30" s="1" t="s">
        <v>356</v>
      </c>
      <c r="C30" s="1" t="s">
        <v>439</v>
      </c>
      <c r="D30" s="2">
        <v>46058.0</v>
      </c>
      <c r="E30" s="2">
        <v>46156.0</v>
      </c>
      <c r="F30" s="2">
        <v>46150.0</v>
      </c>
      <c r="G30" s="1" t="s">
        <v>440</v>
      </c>
      <c r="H30" s="1" t="s">
        <v>4</v>
      </c>
    </row>
    <row r="31">
      <c r="A31" s="1" t="s">
        <v>355</v>
      </c>
      <c r="B31" s="1" t="s">
        <v>356</v>
      </c>
      <c r="C31" s="1" t="s">
        <v>441</v>
      </c>
      <c r="D31" s="4">
        <v>46023.0</v>
      </c>
      <c r="E31" s="1" t="s">
        <v>442</v>
      </c>
      <c r="F31" s="4">
        <v>46024.0</v>
      </c>
      <c r="G31" s="1" t="s">
        <v>443</v>
      </c>
      <c r="H31" s="1" t="s">
        <v>4</v>
      </c>
    </row>
    <row r="32">
      <c r="A32" s="1" t="s">
        <v>355</v>
      </c>
      <c r="B32" s="1" t="s">
        <v>356</v>
      </c>
      <c r="C32" s="1" t="s">
        <v>444</v>
      </c>
      <c r="D32" s="1">
        <v>-2.0</v>
      </c>
      <c r="E32" s="1">
        <v>2.0</v>
      </c>
      <c r="F32" s="1">
        <v>1.0</v>
      </c>
      <c r="G32" s="1">
        <v>-1.0</v>
      </c>
      <c r="H32" s="1" t="s">
        <v>3</v>
      </c>
    </row>
    <row r="33">
      <c r="A33" s="1" t="s">
        <v>355</v>
      </c>
      <c r="B33" s="1" t="s">
        <v>356</v>
      </c>
      <c r="C33" s="1" t="s">
        <v>445</v>
      </c>
      <c r="D33" s="1" t="s">
        <v>446</v>
      </c>
      <c r="E33" s="4">
        <v>46025.0</v>
      </c>
      <c r="F33" s="1" t="s">
        <v>447</v>
      </c>
      <c r="G33" s="1" t="s">
        <v>448</v>
      </c>
      <c r="H33" s="1" t="s">
        <v>3</v>
      </c>
    </row>
    <row r="34">
      <c r="A34" s="1" t="s">
        <v>355</v>
      </c>
      <c r="B34" s="1" t="s">
        <v>356</v>
      </c>
      <c r="C34" s="1" t="s">
        <v>449</v>
      </c>
      <c r="D34" s="1">
        <v>1.0</v>
      </c>
      <c r="E34" s="1">
        <v>2.0</v>
      </c>
      <c r="F34" s="1">
        <v>3.0</v>
      </c>
      <c r="G34" s="1">
        <v>4.0</v>
      </c>
      <c r="H34" s="1" t="s">
        <v>5</v>
      </c>
    </row>
    <row r="35">
      <c r="A35" s="1" t="s">
        <v>355</v>
      </c>
      <c r="B35" s="1" t="s">
        <v>356</v>
      </c>
      <c r="C35" s="1" t="s">
        <v>450</v>
      </c>
      <c r="D35" s="1" t="s">
        <v>451</v>
      </c>
      <c r="E35" s="1" t="s">
        <v>452</v>
      </c>
      <c r="F35" s="1" t="s">
        <v>453</v>
      </c>
      <c r="G35" s="1" t="s">
        <v>454</v>
      </c>
      <c r="H35" s="1" t="s">
        <v>5</v>
      </c>
    </row>
    <row r="36">
      <c r="A36" s="1" t="s">
        <v>355</v>
      </c>
      <c r="B36" s="1" t="s">
        <v>356</v>
      </c>
      <c r="C36" s="1" t="s">
        <v>455</v>
      </c>
      <c r="D36" s="1">
        <v>-3.0</v>
      </c>
      <c r="E36" s="1">
        <v>3.0</v>
      </c>
      <c r="F36" s="1">
        <v>1.0</v>
      </c>
      <c r="G36" s="1">
        <v>-1.0</v>
      </c>
      <c r="H36" s="1" t="s">
        <v>4</v>
      </c>
    </row>
    <row r="37">
      <c r="A37" s="1" t="s">
        <v>355</v>
      </c>
      <c r="B37" s="1" t="s">
        <v>356</v>
      </c>
      <c r="C37" s="1" t="s">
        <v>456</v>
      </c>
      <c r="D37" s="1" t="s">
        <v>457</v>
      </c>
      <c r="E37" s="1" t="s">
        <v>458</v>
      </c>
      <c r="F37" s="1" t="s">
        <v>459</v>
      </c>
      <c r="G37" s="1" t="s">
        <v>22</v>
      </c>
      <c r="H37" s="1" t="s">
        <v>3</v>
      </c>
    </row>
    <row r="38">
      <c r="A38" s="1" t="s">
        <v>355</v>
      </c>
      <c r="B38" s="1" t="s">
        <v>356</v>
      </c>
      <c r="C38" s="1" t="s">
        <v>460</v>
      </c>
      <c r="D38" s="1">
        <v>1.0</v>
      </c>
      <c r="E38" s="1">
        <v>0.0</v>
      </c>
      <c r="F38" s="1">
        <v>-1.0</v>
      </c>
      <c r="G38" s="1" t="s">
        <v>27</v>
      </c>
      <c r="H38" s="1" t="s">
        <v>4</v>
      </c>
    </row>
    <row r="39">
      <c r="A39" s="1" t="s">
        <v>355</v>
      </c>
      <c r="B39" s="1" t="s">
        <v>356</v>
      </c>
      <c r="C39" s="1" t="s">
        <v>461</v>
      </c>
      <c r="D39" s="1">
        <v>2.0</v>
      </c>
      <c r="E39" s="1">
        <v>3.0</v>
      </c>
      <c r="F39" s="1">
        <v>4.0</v>
      </c>
      <c r="G39" s="1">
        <v>0.0</v>
      </c>
      <c r="H39" s="1" t="s">
        <v>5</v>
      </c>
    </row>
    <row r="40">
      <c r="A40" s="1" t="s">
        <v>355</v>
      </c>
      <c r="B40" s="1" t="s">
        <v>356</v>
      </c>
      <c r="C40" s="1" t="s">
        <v>462</v>
      </c>
      <c r="D40" s="1" t="s">
        <v>463</v>
      </c>
      <c r="E40" s="1" t="s">
        <v>464</v>
      </c>
      <c r="F40" s="1" t="s">
        <v>465</v>
      </c>
      <c r="G40" s="1" t="s">
        <v>466</v>
      </c>
      <c r="H40" s="1" t="s">
        <v>3</v>
      </c>
    </row>
    <row r="41">
      <c r="A41" s="1" t="s">
        <v>355</v>
      </c>
      <c r="B41" s="1" t="s">
        <v>356</v>
      </c>
      <c r="C41" s="1" t="s">
        <v>467</v>
      </c>
      <c r="D41" s="1" t="s">
        <v>437</v>
      </c>
      <c r="E41" s="1" t="s">
        <v>436</v>
      </c>
      <c r="F41" s="1" t="s">
        <v>434</v>
      </c>
      <c r="G41" s="1" t="s">
        <v>435</v>
      </c>
      <c r="H41" s="1" t="s">
        <v>5</v>
      </c>
    </row>
    <row r="42">
      <c r="A42" s="1" t="s">
        <v>355</v>
      </c>
      <c r="B42" s="1" t="s">
        <v>356</v>
      </c>
      <c r="C42" s="1" t="s">
        <v>468</v>
      </c>
      <c r="D42" s="1">
        <v>9.0</v>
      </c>
      <c r="E42" s="1">
        <v>-9.0</v>
      </c>
      <c r="F42" s="1">
        <v>8.0</v>
      </c>
      <c r="G42" s="1">
        <v>-8.0</v>
      </c>
      <c r="H42" s="1" t="s">
        <v>5</v>
      </c>
    </row>
    <row r="43">
      <c r="A43" s="1" t="s">
        <v>355</v>
      </c>
      <c r="B43" s="1" t="s">
        <v>356</v>
      </c>
      <c r="C43" s="1" t="s">
        <v>469</v>
      </c>
      <c r="D43" s="2">
        <v>46119.0</v>
      </c>
      <c r="E43" s="1" t="s">
        <v>470</v>
      </c>
      <c r="F43" s="2">
        <v>46117.0</v>
      </c>
      <c r="G43" s="1" t="s">
        <v>471</v>
      </c>
      <c r="H43" s="1" t="s">
        <v>4</v>
      </c>
    </row>
    <row r="44">
      <c r="A44" s="1" t="s">
        <v>355</v>
      </c>
      <c r="B44" s="1" t="s">
        <v>356</v>
      </c>
      <c r="C44" s="1" t="s">
        <v>472</v>
      </c>
      <c r="D44" s="1">
        <v>-1.0</v>
      </c>
      <c r="E44" s="1">
        <v>4.0</v>
      </c>
      <c r="F44" s="1">
        <v>1.0</v>
      </c>
      <c r="G44" s="1">
        <v>0.0</v>
      </c>
      <c r="H44" s="1" t="s">
        <v>5</v>
      </c>
    </row>
    <row r="45">
      <c r="A45" s="1" t="s">
        <v>355</v>
      </c>
      <c r="B45" s="1" t="s">
        <v>356</v>
      </c>
      <c r="C45" s="1" t="s">
        <v>473</v>
      </c>
      <c r="D45" s="1">
        <v>1.0</v>
      </c>
      <c r="E45" s="1">
        <v>2.0</v>
      </c>
      <c r="F45" s="1">
        <v>3.0</v>
      </c>
      <c r="G45" s="1" t="s">
        <v>474</v>
      </c>
      <c r="H45" s="1" t="s">
        <v>6</v>
      </c>
    </row>
    <row r="46">
      <c r="A46" s="1" t="s">
        <v>355</v>
      </c>
      <c r="B46" s="1" t="s">
        <v>356</v>
      </c>
      <c r="C46" s="1" t="s">
        <v>475</v>
      </c>
      <c r="D46" s="1" t="s">
        <v>476</v>
      </c>
      <c r="E46" s="1" t="s">
        <v>477</v>
      </c>
      <c r="F46" s="1" t="s">
        <v>478</v>
      </c>
      <c r="G46" s="1" t="s">
        <v>479</v>
      </c>
      <c r="H46" s="1" t="s">
        <v>3</v>
      </c>
    </row>
    <row r="47">
      <c r="A47" s="1" t="s">
        <v>355</v>
      </c>
      <c r="B47" s="1" t="s">
        <v>356</v>
      </c>
      <c r="C47" s="1" t="s">
        <v>480</v>
      </c>
      <c r="D47" s="1" t="s">
        <v>481</v>
      </c>
      <c r="E47" s="1" t="s">
        <v>482</v>
      </c>
      <c r="F47" s="1" t="s">
        <v>483</v>
      </c>
      <c r="G47" s="1" t="s">
        <v>484</v>
      </c>
      <c r="H47" s="1" t="s">
        <v>3</v>
      </c>
    </row>
    <row r="48">
      <c r="A48" s="1" t="s">
        <v>355</v>
      </c>
      <c r="B48" s="1" t="s">
        <v>356</v>
      </c>
      <c r="C48" s="1" t="s">
        <v>485</v>
      </c>
      <c r="D48" s="1">
        <v>1.0</v>
      </c>
      <c r="E48" s="1">
        <v>2.0</v>
      </c>
      <c r="F48" s="1">
        <v>0.0</v>
      </c>
      <c r="G48" s="1" t="s">
        <v>417</v>
      </c>
      <c r="H48" s="1" t="s">
        <v>5</v>
      </c>
    </row>
    <row r="49">
      <c r="A49" s="1" t="s">
        <v>355</v>
      </c>
      <c r="B49" s="1" t="s">
        <v>356</v>
      </c>
      <c r="C49" s="1" t="s">
        <v>486</v>
      </c>
      <c r="D49" s="2">
        <v>46056.0</v>
      </c>
      <c r="E49" s="1" t="s">
        <v>487</v>
      </c>
      <c r="F49" s="2">
        <v>46083.0</v>
      </c>
      <c r="G49" s="1" t="s">
        <v>488</v>
      </c>
      <c r="H49" s="1" t="s">
        <v>4</v>
      </c>
    </row>
    <row r="50">
      <c r="A50" s="1" t="s">
        <v>355</v>
      </c>
      <c r="B50" s="1" t="s">
        <v>356</v>
      </c>
      <c r="C50" s="1" t="s">
        <v>489</v>
      </c>
      <c r="D50" s="1" t="s">
        <v>160</v>
      </c>
      <c r="E50" s="1" t="s">
        <v>161</v>
      </c>
      <c r="F50" s="1" t="s">
        <v>162</v>
      </c>
      <c r="G50" s="1" t="s">
        <v>490</v>
      </c>
      <c r="H50" s="1" t="s">
        <v>3</v>
      </c>
    </row>
    <row r="51">
      <c r="A51" s="1" t="s">
        <v>355</v>
      </c>
      <c r="B51" s="1" t="s">
        <v>356</v>
      </c>
      <c r="C51" s="1" t="s">
        <v>491</v>
      </c>
      <c r="D51" s="1" t="s">
        <v>492</v>
      </c>
      <c r="E51" s="4">
        <v>46115.0</v>
      </c>
      <c r="F51" s="1" t="s">
        <v>493</v>
      </c>
      <c r="G51" s="1" t="s">
        <v>494</v>
      </c>
      <c r="H51" s="1" t="s">
        <v>3</v>
      </c>
    </row>
    <row r="52">
      <c r="A52" s="1" t="s">
        <v>355</v>
      </c>
      <c r="B52" s="1" t="s">
        <v>356</v>
      </c>
      <c r="C52" s="1" t="s">
        <v>495</v>
      </c>
      <c r="D52" s="1" t="s">
        <v>496</v>
      </c>
      <c r="E52" s="1" t="s">
        <v>497</v>
      </c>
      <c r="F52" s="1" t="s">
        <v>498</v>
      </c>
      <c r="G52" s="1" t="s">
        <v>499</v>
      </c>
      <c r="H52" s="1" t="s">
        <v>4</v>
      </c>
    </row>
    <row r="53">
      <c r="A53" s="1" t="s">
        <v>355</v>
      </c>
      <c r="B53" s="1" t="s">
        <v>356</v>
      </c>
      <c r="C53" s="1" t="s">
        <v>500</v>
      </c>
      <c r="D53" s="1">
        <v>1.0</v>
      </c>
      <c r="E53" s="1">
        <v>-1.0</v>
      </c>
      <c r="F53" s="1">
        <v>0.0</v>
      </c>
      <c r="G53" s="1">
        <v>2.0</v>
      </c>
      <c r="H53" s="1" t="s">
        <v>4</v>
      </c>
    </row>
    <row r="54">
      <c r="A54" s="1" t="s">
        <v>355</v>
      </c>
      <c r="B54" s="1" t="s">
        <v>356</v>
      </c>
      <c r="C54" s="1" t="s">
        <v>501</v>
      </c>
      <c r="D54" s="1" t="s">
        <v>502</v>
      </c>
      <c r="E54" s="2">
        <v>46143.0</v>
      </c>
      <c r="F54" s="1" t="s">
        <v>503</v>
      </c>
      <c r="G54" s="1" t="s">
        <v>502</v>
      </c>
      <c r="H54" s="1" t="s">
        <v>3</v>
      </c>
    </row>
    <row r="55">
      <c r="A55" s="1" t="s">
        <v>355</v>
      </c>
      <c r="B55" s="1" t="s">
        <v>356</v>
      </c>
      <c r="C55" s="1" t="s">
        <v>504</v>
      </c>
      <c r="D55" s="1" t="s">
        <v>505</v>
      </c>
      <c r="E55" s="1" t="s">
        <v>506</v>
      </c>
      <c r="F55" s="1" t="s">
        <v>507</v>
      </c>
      <c r="G55" s="1" t="s">
        <v>22</v>
      </c>
      <c r="H55" s="1" t="s">
        <v>4</v>
      </c>
    </row>
    <row r="56">
      <c r="A56" s="1" t="s">
        <v>355</v>
      </c>
      <c r="B56" s="1" t="s">
        <v>356</v>
      </c>
      <c r="C56" s="1" t="s">
        <v>508</v>
      </c>
      <c r="D56" s="1">
        <v>1.0</v>
      </c>
      <c r="E56" s="1">
        <v>-1.0</v>
      </c>
      <c r="F56" s="1">
        <v>0.0</v>
      </c>
      <c r="G56" s="1" t="s">
        <v>28</v>
      </c>
      <c r="H56" s="1" t="s">
        <v>5</v>
      </c>
    </row>
    <row r="57">
      <c r="A57" s="1" t="s">
        <v>355</v>
      </c>
      <c r="B57" s="1" t="s">
        <v>356</v>
      </c>
      <c r="C57" s="1" t="s">
        <v>509</v>
      </c>
      <c r="D57" s="1">
        <v>0.0</v>
      </c>
      <c r="E57" s="1">
        <v>2.0</v>
      </c>
      <c r="F57" s="1">
        <v>1.0</v>
      </c>
      <c r="G57" s="1">
        <v>-1.0</v>
      </c>
      <c r="H57" s="1" t="s">
        <v>3</v>
      </c>
    </row>
    <row r="58">
      <c r="A58" s="1" t="s">
        <v>355</v>
      </c>
      <c r="B58" s="1" t="s">
        <v>356</v>
      </c>
      <c r="C58" s="1" t="s">
        <v>510</v>
      </c>
      <c r="D58" s="1" t="s">
        <v>511</v>
      </c>
      <c r="E58" s="1" t="s">
        <v>373</v>
      </c>
      <c r="F58" s="1" t="s">
        <v>512</v>
      </c>
      <c r="G58" s="1" t="s">
        <v>513</v>
      </c>
      <c r="H58" s="1" t="s">
        <v>3</v>
      </c>
    </row>
    <row r="59">
      <c r="A59" s="1" t="s">
        <v>355</v>
      </c>
      <c r="B59" s="1" t="s">
        <v>356</v>
      </c>
      <c r="C59" s="1" t="s">
        <v>514</v>
      </c>
      <c r="D59" s="1" t="s">
        <v>515</v>
      </c>
      <c r="E59" s="1" t="s">
        <v>516</v>
      </c>
      <c r="F59" s="1" t="s">
        <v>517</v>
      </c>
      <c r="G59" s="1" t="s">
        <v>22</v>
      </c>
      <c r="H59" s="1" t="s">
        <v>5</v>
      </c>
    </row>
    <row r="60">
      <c r="A60" s="1" t="s">
        <v>355</v>
      </c>
      <c r="B60" s="1" t="s">
        <v>356</v>
      </c>
      <c r="C60" s="1" t="s">
        <v>518</v>
      </c>
      <c r="D60" s="1">
        <v>0.0</v>
      </c>
      <c r="E60" s="1">
        <v>1.0</v>
      </c>
      <c r="F60" s="1">
        <v>-1.0</v>
      </c>
      <c r="G60" s="1">
        <v>2.0</v>
      </c>
      <c r="H60" s="1" t="s">
        <v>5</v>
      </c>
    </row>
    <row r="61">
      <c r="A61" s="1" t="s">
        <v>355</v>
      </c>
      <c r="B61" s="1" t="s">
        <v>356</v>
      </c>
      <c r="C61" s="1" t="s">
        <v>519</v>
      </c>
      <c r="D61" s="1">
        <v>3.0</v>
      </c>
      <c r="E61" s="1">
        <v>-3.0</v>
      </c>
      <c r="F61" s="1" t="s">
        <v>520</v>
      </c>
      <c r="G61" s="1" t="s">
        <v>22</v>
      </c>
      <c r="H61" s="1" t="s">
        <v>3</v>
      </c>
    </row>
    <row r="62">
      <c r="A62" s="1" t="s">
        <v>355</v>
      </c>
      <c r="B62" s="1" t="s">
        <v>356</v>
      </c>
      <c r="C62" s="1" t="s">
        <v>521</v>
      </c>
      <c r="D62" s="1" t="s">
        <v>522</v>
      </c>
      <c r="E62" s="1" t="s">
        <v>523</v>
      </c>
      <c r="F62" s="1" t="s">
        <v>524</v>
      </c>
      <c r="G62" s="1" t="s">
        <v>525</v>
      </c>
      <c r="H62" s="1" t="s">
        <v>3</v>
      </c>
    </row>
    <row r="63">
      <c r="A63" s="1" t="s">
        <v>355</v>
      </c>
      <c r="B63" s="1" t="s">
        <v>356</v>
      </c>
      <c r="C63" s="1" t="s">
        <v>526</v>
      </c>
      <c r="D63" s="1" t="s">
        <v>527</v>
      </c>
      <c r="E63" s="1" t="s">
        <v>528</v>
      </c>
      <c r="F63" s="1" t="s">
        <v>529</v>
      </c>
      <c r="G63" s="1" t="s">
        <v>22</v>
      </c>
      <c r="H63" s="1" t="s">
        <v>3</v>
      </c>
    </row>
    <row r="64">
      <c r="A64" s="1" t="s">
        <v>355</v>
      </c>
      <c r="B64" s="1" t="s">
        <v>356</v>
      </c>
      <c r="C64" s="1" t="s">
        <v>530</v>
      </c>
      <c r="D64" s="1">
        <v>0.0</v>
      </c>
      <c r="E64" s="1">
        <v>-6.0</v>
      </c>
      <c r="F64" s="1">
        <v>6.0</v>
      </c>
      <c r="G64" s="1">
        <v>1.0</v>
      </c>
      <c r="H64" s="1" t="s">
        <v>4</v>
      </c>
    </row>
    <row r="65">
      <c r="A65" s="1" t="s">
        <v>355</v>
      </c>
      <c r="B65" s="1" t="s">
        <v>356</v>
      </c>
      <c r="C65" s="1" t="s">
        <v>531</v>
      </c>
      <c r="D65" s="1" t="s">
        <v>532</v>
      </c>
      <c r="E65" s="1" t="s">
        <v>451</v>
      </c>
      <c r="F65" s="1" t="s">
        <v>452</v>
      </c>
      <c r="G65" s="1" t="s">
        <v>453</v>
      </c>
      <c r="H65" s="1" t="s">
        <v>4</v>
      </c>
    </row>
    <row r="66">
      <c r="A66" s="1" t="s">
        <v>355</v>
      </c>
      <c r="B66" s="1" t="s">
        <v>356</v>
      </c>
      <c r="C66" s="1" t="s">
        <v>533</v>
      </c>
      <c r="D66" s="1" t="s">
        <v>452</v>
      </c>
      <c r="E66" s="1" t="s">
        <v>534</v>
      </c>
      <c r="F66" s="1" t="s">
        <v>454</v>
      </c>
      <c r="G66" s="1" t="s">
        <v>453</v>
      </c>
      <c r="H66" s="1" t="s">
        <v>3</v>
      </c>
    </row>
    <row r="67">
      <c r="A67" s="1" t="s">
        <v>355</v>
      </c>
      <c r="B67" s="1" t="s">
        <v>356</v>
      </c>
      <c r="C67" s="1" t="s">
        <v>535</v>
      </c>
      <c r="D67" s="4">
        <v>46055.0</v>
      </c>
      <c r="E67" s="1" t="s">
        <v>536</v>
      </c>
      <c r="F67" s="1" t="s">
        <v>537</v>
      </c>
      <c r="G67" s="4">
        <v>46026.0</v>
      </c>
      <c r="H67" s="1" t="s">
        <v>4</v>
      </c>
    </row>
    <row r="68">
      <c r="A68" s="1" t="s">
        <v>355</v>
      </c>
      <c r="B68" s="1" t="s">
        <v>356</v>
      </c>
      <c r="C68" s="1" t="s">
        <v>538</v>
      </c>
      <c r="D68" s="1" t="s">
        <v>539</v>
      </c>
      <c r="E68" s="1" t="s">
        <v>540</v>
      </c>
      <c r="F68" s="1" t="s">
        <v>541</v>
      </c>
      <c r="G68" s="1" t="s">
        <v>22</v>
      </c>
      <c r="H68" s="1" t="s">
        <v>4</v>
      </c>
    </row>
    <row r="69">
      <c r="A69" s="1" t="s">
        <v>355</v>
      </c>
      <c r="B69" s="1" t="s">
        <v>356</v>
      </c>
      <c r="C69" s="1" t="s">
        <v>542</v>
      </c>
      <c r="D69" s="1" t="s">
        <v>516</v>
      </c>
      <c r="E69" s="1" t="s">
        <v>543</v>
      </c>
      <c r="F69" s="1" t="s">
        <v>515</v>
      </c>
      <c r="G69" s="1" t="s">
        <v>544</v>
      </c>
      <c r="H69" s="1" t="s">
        <v>4</v>
      </c>
    </row>
    <row r="70">
      <c r="A70" s="1" t="s">
        <v>355</v>
      </c>
      <c r="B70" s="1" t="s">
        <v>356</v>
      </c>
      <c r="C70" s="1" t="s">
        <v>545</v>
      </c>
      <c r="D70" s="1" t="s">
        <v>546</v>
      </c>
      <c r="E70" s="1" t="s">
        <v>547</v>
      </c>
      <c r="F70" s="1" t="s">
        <v>548</v>
      </c>
      <c r="G70" s="1" t="s">
        <v>549</v>
      </c>
      <c r="H70" s="1" t="s">
        <v>3</v>
      </c>
    </row>
    <row r="71">
      <c r="A71" s="1" t="s">
        <v>355</v>
      </c>
      <c r="B71" s="1" t="s">
        <v>356</v>
      </c>
      <c r="C71" s="1" t="s">
        <v>550</v>
      </c>
      <c r="D71" s="1" t="s">
        <v>551</v>
      </c>
      <c r="E71" s="1" t="s">
        <v>552</v>
      </c>
      <c r="F71" s="1" t="s">
        <v>553</v>
      </c>
      <c r="G71" s="1" t="s">
        <v>554</v>
      </c>
      <c r="H71" s="1" t="s">
        <v>3</v>
      </c>
    </row>
    <row r="72">
      <c r="A72" s="1" t="s">
        <v>355</v>
      </c>
      <c r="B72" s="1" t="s">
        <v>356</v>
      </c>
      <c r="C72" s="1" t="s">
        <v>555</v>
      </c>
      <c r="D72" s="1" t="s">
        <v>556</v>
      </c>
      <c r="E72" s="1" t="s">
        <v>557</v>
      </c>
      <c r="F72" s="1" t="s">
        <v>558</v>
      </c>
      <c r="G72" s="1">
        <v>0.0</v>
      </c>
      <c r="H72" s="1" t="s">
        <v>4</v>
      </c>
    </row>
    <row r="73">
      <c r="A73" s="1" t="s">
        <v>355</v>
      </c>
      <c r="B73" s="1" t="s">
        <v>356</v>
      </c>
      <c r="C73" s="1" t="s">
        <v>559</v>
      </c>
      <c r="D73" s="1" t="s">
        <v>532</v>
      </c>
      <c r="E73" s="1" t="s">
        <v>451</v>
      </c>
      <c r="F73" s="1" t="s">
        <v>452</v>
      </c>
      <c r="G73" s="1" t="s">
        <v>534</v>
      </c>
      <c r="H73" s="1" t="s">
        <v>4</v>
      </c>
    </row>
    <row r="74">
      <c r="A74" s="1" t="s">
        <v>355</v>
      </c>
      <c r="B74" s="1" t="s">
        <v>356</v>
      </c>
      <c r="C74" s="1" t="s">
        <v>560</v>
      </c>
      <c r="D74" s="1" t="s">
        <v>452</v>
      </c>
      <c r="E74" s="1" t="s">
        <v>534</v>
      </c>
      <c r="F74" s="1" t="s">
        <v>532</v>
      </c>
      <c r="G74" s="1" t="s">
        <v>451</v>
      </c>
      <c r="H74" s="1" t="s">
        <v>3</v>
      </c>
    </row>
    <row r="75">
      <c r="A75" s="1" t="s">
        <v>355</v>
      </c>
      <c r="B75" s="1" t="s">
        <v>356</v>
      </c>
      <c r="C75" s="1" t="s">
        <v>561</v>
      </c>
      <c r="D75" s="1">
        <v>2.0</v>
      </c>
      <c r="E75" s="1">
        <v>3.0</v>
      </c>
      <c r="F75" s="1">
        <v>4.0</v>
      </c>
      <c r="G75" s="1">
        <v>5.0</v>
      </c>
      <c r="H75" s="1" t="s">
        <v>5</v>
      </c>
    </row>
    <row r="76">
      <c r="A76" s="1" t="s">
        <v>355</v>
      </c>
      <c r="B76" s="1" t="s">
        <v>356</v>
      </c>
      <c r="C76" s="1" t="s">
        <v>562</v>
      </c>
      <c r="D76" s="1">
        <v>4.0</v>
      </c>
      <c r="E76" s="1">
        <v>0.0</v>
      </c>
      <c r="F76" s="1">
        <v>-4.0</v>
      </c>
      <c r="G76" s="1">
        <v>3.0</v>
      </c>
      <c r="H76" s="1" t="s">
        <v>4</v>
      </c>
    </row>
    <row r="77">
      <c r="A77" s="1" t="s">
        <v>355</v>
      </c>
      <c r="B77" s="1" t="s">
        <v>356</v>
      </c>
      <c r="C77" s="1" t="s">
        <v>563</v>
      </c>
      <c r="D77" s="1">
        <v>2.0</v>
      </c>
      <c r="E77" s="1" t="s">
        <v>564</v>
      </c>
      <c r="F77" s="1">
        <v>3.0</v>
      </c>
      <c r="G77" s="1">
        <v>4.0</v>
      </c>
      <c r="H77" s="1" t="s">
        <v>4</v>
      </c>
    </row>
    <row r="78">
      <c r="A78" s="1" t="s">
        <v>355</v>
      </c>
      <c r="B78" s="1" t="s">
        <v>356</v>
      </c>
      <c r="C78" s="1" t="s">
        <v>565</v>
      </c>
      <c r="D78" s="1" t="s">
        <v>566</v>
      </c>
      <c r="E78" s="1" t="s">
        <v>567</v>
      </c>
      <c r="F78" s="1" t="s">
        <v>568</v>
      </c>
      <c r="G78" s="1" t="s">
        <v>22</v>
      </c>
      <c r="H78" s="1" t="s">
        <v>5</v>
      </c>
    </row>
    <row r="79">
      <c r="A79" s="1" t="s">
        <v>355</v>
      </c>
      <c r="B79" s="1" t="s">
        <v>356</v>
      </c>
      <c r="C79" s="1" t="s">
        <v>569</v>
      </c>
      <c r="D79" s="1" t="s">
        <v>356</v>
      </c>
      <c r="E79" s="1" t="s">
        <v>570</v>
      </c>
      <c r="F79" s="1" t="s">
        <v>571</v>
      </c>
      <c r="G79" s="1" t="s">
        <v>22</v>
      </c>
      <c r="H79" s="1" t="s">
        <v>4</v>
      </c>
    </row>
    <row r="80">
      <c r="A80" s="1" t="s">
        <v>355</v>
      </c>
      <c r="B80" s="1" t="s">
        <v>356</v>
      </c>
      <c r="C80" s="1" t="s">
        <v>572</v>
      </c>
      <c r="D80" s="1" t="s">
        <v>356</v>
      </c>
      <c r="E80" s="1" t="s">
        <v>570</v>
      </c>
      <c r="F80" s="1" t="s">
        <v>371</v>
      </c>
      <c r="G80" s="1" t="s">
        <v>369</v>
      </c>
      <c r="H80" s="1" t="s">
        <v>4</v>
      </c>
    </row>
    <row r="81">
      <c r="A81" s="1" t="s">
        <v>355</v>
      </c>
      <c r="B81" s="1" t="s">
        <v>356</v>
      </c>
      <c r="C81" s="1" t="s">
        <v>573</v>
      </c>
      <c r="D81" s="5" t="str">
        <f>+4, -4</f>
        <v>#ERROR!</v>
      </c>
      <c r="E81" s="5" t="str">
        <f>+16, -16</f>
        <v>#ERROR!</v>
      </c>
      <c r="F81" s="5" t="str">
        <f>+4, +4</f>
        <v>#ERROR!</v>
      </c>
      <c r="G81" s="1" t="s">
        <v>574</v>
      </c>
      <c r="H81" s="1" t="s">
        <v>3</v>
      </c>
    </row>
    <row r="82">
      <c r="A82" s="1" t="s">
        <v>355</v>
      </c>
      <c r="B82" s="1" t="s">
        <v>356</v>
      </c>
      <c r="C82" s="1" t="s">
        <v>575</v>
      </c>
      <c r="D82" s="1" t="s">
        <v>576</v>
      </c>
      <c r="E82" s="1" t="s">
        <v>577</v>
      </c>
      <c r="F82" s="1" t="s">
        <v>578</v>
      </c>
      <c r="G82" s="1" t="s">
        <v>579</v>
      </c>
      <c r="H82" s="1" t="s">
        <v>3</v>
      </c>
    </row>
    <row r="83">
      <c r="A83" s="1" t="s">
        <v>355</v>
      </c>
      <c r="B83" s="1" t="s">
        <v>356</v>
      </c>
      <c r="C83" s="1" t="s">
        <v>580</v>
      </c>
      <c r="D83" s="1" t="s">
        <v>581</v>
      </c>
      <c r="E83" s="1" t="s">
        <v>397</v>
      </c>
      <c r="F83" s="1" t="s">
        <v>382</v>
      </c>
      <c r="G83" s="1" t="s">
        <v>582</v>
      </c>
      <c r="H83" s="1" t="s">
        <v>4</v>
      </c>
    </row>
    <row r="84">
      <c r="A84" s="1" t="s">
        <v>355</v>
      </c>
      <c r="B84" s="1" t="s">
        <v>356</v>
      </c>
      <c r="C84" s="1" t="s">
        <v>583</v>
      </c>
      <c r="D84" s="2">
        <v>46058.0</v>
      </c>
      <c r="E84" s="1" t="s">
        <v>584</v>
      </c>
      <c r="F84" s="1">
        <v>7.0</v>
      </c>
      <c r="G84" s="1">
        <v>-7.0</v>
      </c>
      <c r="H84" s="1" t="s">
        <v>3</v>
      </c>
    </row>
    <row r="85">
      <c r="A85" s="1" t="s">
        <v>355</v>
      </c>
      <c r="B85" s="1" t="s">
        <v>356</v>
      </c>
      <c r="C85" s="1" t="s">
        <v>585</v>
      </c>
      <c r="D85" s="1">
        <v>0.0</v>
      </c>
      <c r="E85" s="1">
        <v>1.0</v>
      </c>
      <c r="F85" s="1" t="s">
        <v>586</v>
      </c>
      <c r="G85" s="1" t="s">
        <v>417</v>
      </c>
      <c r="H85" s="1" t="s">
        <v>5</v>
      </c>
    </row>
    <row r="86">
      <c r="A86" s="1" t="s">
        <v>355</v>
      </c>
      <c r="B86" s="1" t="s">
        <v>356</v>
      </c>
      <c r="C86" s="1" t="s">
        <v>587</v>
      </c>
      <c r="D86" s="1">
        <v>0.0</v>
      </c>
      <c r="E86" s="1">
        <v>1.0</v>
      </c>
      <c r="F86" s="1">
        <v>2.0</v>
      </c>
      <c r="G86" s="1">
        <v>3.0</v>
      </c>
      <c r="H86" s="1" t="s">
        <v>3</v>
      </c>
    </row>
    <row r="87">
      <c r="A87" s="1" t="s">
        <v>355</v>
      </c>
      <c r="B87" s="1" t="s">
        <v>356</v>
      </c>
      <c r="C87" s="1" t="s">
        <v>588</v>
      </c>
      <c r="D87" s="1" t="s">
        <v>589</v>
      </c>
      <c r="E87" s="2">
        <v>46208.0</v>
      </c>
      <c r="F87" s="2">
        <v>46149.0</v>
      </c>
      <c r="G87" s="1" t="s">
        <v>590</v>
      </c>
      <c r="H87" s="1" t="s">
        <v>4</v>
      </c>
    </row>
    <row r="88">
      <c r="A88" s="1" t="s">
        <v>355</v>
      </c>
      <c r="B88" s="1" t="s">
        <v>356</v>
      </c>
      <c r="C88" s="1" t="s">
        <v>591</v>
      </c>
      <c r="D88" s="1">
        <v>11.0</v>
      </c>
      <c r="E88" s="1">
        <v>-11.0</v>
      </c>
      <c r="F88" s="1">
        <v>13.0</v>
      </c>
      <c r="G88" s="1">
        <v>-13.0</v>
      </c>
      <c r="H88" s="1" t="s">
        <v>3</v>
      </c>
    </row>
    <row r="89">
      <c r="A89" s="1" t="s">
        <v>355</v>
      </c>
      <c r="B89" s="1" t="s">
        <v>356</v>
      </c>
      <c r="C89" s="1" t="s">
        <v>592</v>
      </c>
      <c r="D89" s="1">
        <v>7.0</v>
      </c>
      <c r="E89" s="1">
        <v>-7.0</v>
      </c>
      <c r="F89" s="1">
        <v>12.0</v>
      </c>
      <c r="G89" s="1">
        <v>-12.0</v>
      </c>
      <c r="H89" s="1" t="s">
        <v>5</v>
      </c>
    </row>
    <row r="90">
      <c r="A90" s="1" t="s">
        <v>355</v>
      </c>
      <c r="B90" s="1" t="s">
        <v>356</v>
      </c>
      <c r="C90" s="1" t="s">
        <v>593</v>
      </c>
      <c r="D90" s="1" t="s">
        <v>594</v>
      </c>
      <c r="E90" s="4">
        <v>46054.0</v>
      </c>
      <c r="F90" s="1" t="s">
        <v>595</v>
      </c>
      <c r="G90" s="1" t="s">
        <v>596</v>
      </c>
      <c r="H90" s="1" t="s">
        <v>4</v>
      </c>
    </row>
    <row r="91">
      <c r="A91" s="1" t="s">
        <v>355</v>
      </c>
      <c r="B91" s="1" t="s">
        <v>356</v>
      </c>
      <c r="C91" s="1" t="s">
        <v>597</v>
      </c>
      <c r="D91" s="1" t="s">
        <v>598</v>
      </c>
      <c r="E91" s="1" t="s">
        <v>599</v>
      </c>
      <c r="F91" s="1" t="s">
        <v>600</v>
      </c>
      <c r="G91" s="1" t="s">
        <v>22</v>
      </c>
      <c r="H91" s="1" t="s">
        <v>3</v>
      </c>
    </row>
    <row r="92">
      <c r="A92" s="1" t="s">
        <v>355</v>
      </c>
      <c r="B92" s="1" t="s">
        <v>356</v>
      </c>
      <c r="C92" s="1" t="s">
        <v>601</v>
      </c>
      <c r="D92" s="1" t="s">
        <v>517</v>
      </c>
      <c r="E92" s="1" t="s">
        <v>371</v>
      </c>
      <c r="F92" s="1" t="s">
        <v>602</v>
      </c>
      <c r="G92" s="1" t="s">
        <v>22</v>
      </c>
      <c r="H92" s="1" t="s">
        <v>3</v>
      </c>
    </row>
    <row r="93">
      <c r="A93" s="1" t="s">
        <v>355</v>
      </c>
      <c r="B93" s="1" t="s">
        <v>356</v>
      </c>
      <c r="C93" s="1" t="s">
        <v>603</v>
      </c>
      <c r="D93" s="1" t="s">
        <v>604</v>
      </c>
      <c r="E93" s="1" t="s">
        <v>605</v>
      </c>
      <c r="F93" s="1" t="s">
        <v>606</v>
      </c>
      <c r="G93" s="1" t="s">
        <v>27</v>
      </c>
      <c r="H93" s="1" t="s">
        <v>4</v>
      </c>
    </row>
    <row r="94">
      <c r="A94" s="1" t="s">
        <v>355</v>
      </c>
      <c r="B94" s="1" t="s">
        <v>356</v>
      </c>
      <c r="C94" s="1" t="s">
        <v>607</v>
      </c>
      <c r="D94" s="1">
        <v>1.0</v>
      </c>
      <c r="E94" s="1">
        <v>-1.0</v>
      </c>
      <c r="F94" s="1">
        <v>0.0</v>
      </c>
      <c r="G94" s="1">
        <v>3.0</v>
      </c>
      <c r="H94" s="1" t="s">
        <v>3</v>
      </c>
    </row>
    <row r="95">
      <c r="A95" s="1" t="s">
        <v>355</v>
      </c>
      <c r="B95" s="1" t="s">
        <v>356</v>
      </c>
      <c r="C95" s="1" t="s">
        <v>608</v>
      </c>
      <c r="D95" s="1" t="s">
        <v>537</v>
      </c>
      <c r="E95" s="1" t="s">
        <v>609</v>
      </c>
      <c r="F95" s="1" t="s">
        <v>610</v>
      </c>
      <c r="G95" s="1" t="s">
        <v>22</v>
      </c>
      <c r="H95" s="1" t="s">
        <v>3</v>
      </c>
    </row>
    <row r="96">
      <c r="A96" s="1" t="s">
        <v>355</v>
      </c>
      <c r="B96" s="1" t="s">
        <v>356</v>
      </c>
      <c r="C96" s="1" t="s">
        <v>611</v>
      </c>
      <c r="D96" s="1">
        <v>1.0</v>
      </c>
      <c r="E96" s="1">
        <v>2.0</v>
      </c>
      <c r="F96" s="1">
        <v>3.0</v>
      </c>
      <c r="G96" s="1">
        <v>0.0</v>
      </c>
      <c r="H96" s="1" t="s">
        <v>4</v>
      </c>
    </row>
    <row r="97">
      <c r="A97" s="1" t="s">
        <v>355</v>
      </c>
      <c r="B97" s="1" t="s">
        <v>356</v>
      </c>
      <c r="C97" s="1" t="s">
        <v>612</v>
      </c>
      <c r="D97" s="1">
        <v>2.0</v>
      </c>
      <c r="E97" s="1">
        <v>-2.0</v>
      </c>
      <c r="F97" s="1">
        <v>3.0</v>
      </c>
      <c r="G97" s="1">
        <v>-3.0</v>
      </c>
      <c r="H97" s="1" t="s">
        <v>3</v>
      </c>
    </row>
    <row r="98">
      <c r="A98" s="1" t="s">
        <v>355</v>
      </c>
      <c r="B98" s="1" t="s">
        <v>356</v>
      </c>
      <c r="C98" s="1" t="s">
        <v>613</v>
      </c>
      <c r="D98" s="1">
        <v>14.0</v>
      </c>
      <c r="E98" s="1">
        <v>16.0</v>
      </c>
      <c r="F98" s="1">
        <v>12.0</v>
      </c>
      <c r="G98" s="1">
        <v>18.0</v>
      </c>
      <c r="H98" s="1" t="s">
        <v>3</v>
      </c>
    </row>
    <row r="99">
      <c r="A99" s="1" t="s">
        <v>355</v>
      </c>
      <c r="B99" s="1" t="s">
        <v>356</v>
      </c>
      <c r="C99" s="1" t="s">
        <v>614</v>
      </c>
      <c r="D99" s="1">
        <v>1.0</v>
      </c>
      <c r="E99" s="1">
        <v>-1.0</v>
      </c>
      <c r="F99" s="1">
        <v>0.0</v>
      </c>
      <c r="G99" s="1">
        <v>2.0</v>
      </c>
      <c r="H99" s="1" t="s">
        <v>4</v>
      </c>
    </row>
    <row r="100">
      <c r="A100" s="1" t="s">
        <v>355</v>
      </c>
      <c r="B100" s="1" t="s">
        <v>356</v>
      </c>
      <c r="C100" s="1" t="s">
        <v>615</v>
      </c>
      <c r="D100" s="1">
        <v>10.0</v>
      </c>
      <c r="E100" s="1">
        <v>-10.0</v>
      </c>
      <c r="F100" s="1">
        <v>7.0</v>
      </c>
      <c r="G100" s="1">
        <v>-7.0</v>
      </c>
      <c r="H100" s="1" t="s">
        <v>3</v>
      </c>
    </row>
    <row r="101">
      <c r="A101" s="1" t="s">
        <v>355</v>
      </c>
      <c r="B101" s="1" t="s">
        <v>356</v>
      </c>
      <c r="C101" s="1" t="s">
        <v>616</v>
      </c>
      <c r="D101" s="2">
        <v>46054.0</v>
      </c>
      <c r="E101" s="1">
        <v>2.0</v>
      </c>
      <c r="F101" s="1">
        <v>3.0</v>
      </c>
      <c r="G101" s="1">
        <v>0.0</v>
      </c>
      <c r="H101" s="1" t="s">
        <v>5</v>
      </c>
    </row>
    <row r="102">
      <c r="A102" s="1" t="s">
        <v>355</v>
      </c>
      <c r="B102" s="1" t="s">
        <v>356</v>
      </c>
      <c r="C102" s="1" t="s">
        <v>467</v>
      </c>
      <c r="D102" s="1" t="s">
        <v>437</v>
      </c>
      <c r="E102" s="1" t="s">
        <v>436</v>
      </c>
      <c r="F102" s="1" t="s">
        <v>434</v>
      </c>
      <c r="G102" s="1" t="s">
        <v>435</v>
      </c>
      <c r="H102" s="1" t="s">
        <v>5</v>
      </c>
    </row>
    <row r="103">
      <c r="A103" s="1" t="s">
        <v>355</v>
      </c>
      <c r="B103" s="1" t="s">
        <v>356</v>
      </c>
      <c r="C103" s="1" t="s">
        <v>617</v>
      </c>
      <c r="D103" s="1" t="s">
        <v>618</v>
      </c>
      <c r="E103" s="1" t="s">
        <v>619</v>
      </c>
      <c r="F103" s="1" t="s">
        <v>620</v>
      </c>
      <c r="G103" s="1" t="s">
        <v>621</v>
      </c>
      <c r="H103" s="1" t="s">
        <v>3</v>
      </c>
    </row>
    <row r="104">
      <c r="A104" s="1" t="s">
        <v>355</v>
      </c>
      <c r="B104" s="1" t="s">
        <v>356</v>
      </c>
      <c r="C104" s="1" t="s">
        <v>622</v>
      </c>
      <c r="D104" s="1">
        <v>1.0</v>
      </c>
      <c r="E104" s="1">
        <v>4.0</v>
      </c>
      <c r="F104" s="1">
        <v>-4.0</v>
      </c>
      <c r="G104" s="1">
        <v>-1.0</v>
      </c>
      <c r="H104" s="1" t="s">
        <v>4</v>
      </c>
    </row>
    <row r="105">
      <c r="A105" s="1" t="s">
        <v>355</v>
      </c>
      <c r="B105" s="1" t="s">
        <v>356</v>
      </c>
      <c r="C105" s="1" t="s">
        <v>623</v>
      </c>
      <c r="D105" s="1">
        <v>1.0</v>
      </c>
      <c r="E105" s="1">
        <v>2.0</v>
      </c>
      <c r="F105" s="1">
        <v>3.0</v>
      </c>
      <c r="G105" s="1">
        <v>4.0</v>
      </c>
      <c r="H105" s="1" t="s">
        <v>5</v>
      </c>
    </row>
    <row r="106">
      <c r="A106" s="1" t="s">
        <v>355</v>
      </c>
      <c r="B106" s="1" t="s">
        <v>356</v>
      </c>
      <c r="C106" s="1" t="s">
        <v>624</v>
      </c>
      <c r="D106" s="1">
        <v>2.0</v>
      </c>
      <c r="E106" s="1">
        <v>4.0</v>
      </c>
      <c r="F106" s="1">
        <v>0.0</v>
      </c>
      <c r="G106" s="1">
        <v>3.0</v>
      </c>
      <c r="H106" s="1" t="s">
        <v>5</v>
      </c>
    </row>
    <row r="107">
      <c r="A107" s="1" t="s">
        <v>355</v>
      </c>
      <c r="B107" s="1" t="s">
        <v>356</v>
      </c>
      <c r="C107" s="1" t="s">
        <v>555</v>
      </c>
      <c r="D107" s="1" t="s">
        <v>625</v>
      </c>
      <c r="E107" s="1" t="s">
        <v>626</v>
      </c>
      <c r="F107" s="1" t="s">
        <v>627</v>
      </c>
      <c r="G107" s="1" t="s">
        <v>628</v>
      </c>
      <c r="H107" s="1" t="s">
        <v>4</v>
      </c>
    </row>
    <row r="108">
      <c r="A108" s="1" t="s">
        <v>355</v>
      </c>
      <c r="B108" s="1" t="s">
        <v>356</v>
      </c>
      <c r="C108" s="1" t="s">
        <v>629</v>
      </c>
      <c r="D108" s="1">
        <v>9.0</v>
      </c>
      <c r="E108" s="1">
        <v>-9.0</v>
      </c>
      <c r="F108" s="1">
        <v>8.0</v>
      </c>
      <c r="G108" s="1">
        <v>-8.0</v>
      </c>
      <c r="H108" s="1" t="s">
        <v>5</v>
      </c>
    </row>
    <row r="109">
      <c r="A109" s="1" t="s">
        <v>355</v>
      </c>
      <c r="B109" s="1" t="s">
        <v>356</v>
      </c>
      <c r="C109" s="1" t="s">
        <v>630</v>
      </c>
      <c r="D109" s="1" t="s">
        <v>589</v>
      </c>
      <c r="E109" s="2">
        <v>46208.0</v>
      </c>
      <c r="F109" s="2">
        <v>46149.0</v>
      </c>
      <c r="G109" s="1" t="s">
        <v>590</v>
      </c>
      <c r="H109" s="1" t="s">
        <v>4</v>
      </c>
    </row>
    <row r="110">
      <c r="A110" s="1" t="s">
        <v>355</v>
      </c>
      <c r="B110" s="1" t="s">
        <v>356</v>
      </c>
      <c r="C110" s="1" t="s">
        <v>631</v>
      </c>
      <c r="D110" s="1" t="s">
        <v>632</v>
      </c>
      <c r="E110" s="1" t="s">
        <v>633</v>
      </c>
      <c r="F110" s="1" t="s">
        <v>634</v>
      </c>
      <c r="G110" s="1" t="s">
        <v>635</v>
      </c>
      <c r="H110" s="1" t="s">
        <v>3</v>
      </c>
    </row>
    <row r="111">
      <c r="A111" s="1" t="s">
        <v>355</v>
      </c>
      <c r="B111" s="1" t="s">
        <v>356</v>
      </c>
      <c r="C111" s="1" t="s">
        <v>636</v>
      </c>
      <c r="D111" s="1">
        <v>-1.0</v>
      </c>
      <c r="E111" s="1">
        <v>1.0</v>
      </c>
      <c r="F111" s="1">
        <v>0.0</v>
      </c>
      <c r="G111" s="1">
        <v>2.0</v>
      </c>
      <c r="H111" s="1" t="s">
        <v>3</v>
      </c>
    </row>
    <row r="112">
      <c r="A112" s="1" t="s">
        <v>355</v>
      </c>
      <c r="B112" s="1" t="s">
        <v>356</v>
      </c>
      <c r="C112" s="1" t="s">
        <v>637</v>
      </c>
      <c r="D112" s="1">
        <v>0.0</v>
      </c>
      <c r="E112" s="1">
        <v>1.0</v>
      </c>
      <c r="F112" s="1">
        <v>-2.0</v>
      </c>
      <c r="G112" s="1">
        <v>2.0</v>
      </c>
      <c r="H112" s="1" t="s">
        <v>3</v>
      </c>
    </row>
    <row r="113">
      <c r="A113" s="1" t="s">
        <v>355</v>
      </c>
      <c r="B113" s="1" t="s">
        <v>356</v>
      </c>
      <c r="C113" s="1" t="s">
        <v>638</v>
      </c>
      <c r="D113" s="1">
        <v>6.0</v>
      </c>
      <c r="E113" s="1">
        <v>-6.0</v>
      </c>
      <c r="F113" s="1">
        <v>8.0</v>
      </c>
      <c r="G113" s="1">
        <v>-8.0</v>
      </c>
      <c r="H113" s="1" t="s">
        <v>3</v>
      </c>
    </row>
    <row r="114">
      <c r="A114" s="1" t="s">
        <v>355</v>
      </c>
      <c r="B114" s="1" t="s">
        <v>356</v>
      </c>
      <c r="C114" s="1" t="s">
        <v>639</v>
      </c>
      <c r="D114" s="1">
        <v>2.0</v>
      </c>
      <c r="E114" s="1">
        <v>3.0</v>
      </c>
      <c r="F114" s="1">
        <v>1.0</v>
      </c>
      <c r="G114" s="1">
        <v>0.0</v>
      </c>
      <c r="H114" s="1" t="s">
        <v>4</v>
      </c>
    </row>
    <row r="115">
      <c r="A115" s="1" t="s">
        <v>355</v>
      </c>
      <c r="B115" s="1" t="s">
        <v>356</v>
      </c>
      <c r="C115" s="1" t="s">
        <v>418</v>
      </c>
      <c r="D115" s="1" t="s">
        <v>419</v>
      </c>
      <c r="E115" s="1" t="s">
        <v>420</v>
      </c>
      <c r="F115" s="1" t="s">
        <v>421</v>
      </c>
      <c r="G115" s="1" t="s">
        <v>422</v>
      </c>
      <c r="H115" s="1" t="s">
        <v>5</v>
      </c>
    </row>
    <row r="116">
      <c r="A116" s="1" t="s">
        <v>355</v>
      </c>
      <c r="B116" s="1" t="s">
        <v>356</v>
      </c>
      <c r="C116" s="1" t="s">
        <v>640</v>
      </c>
      <c r="D116" s="1">
        <v>1.0</v>
      </c>
      <c r="E116" s="1">
        <v>2.0</v>
      </c>
      <c r="F116" s="1">
        <v>3.0</v>
      </c>
      <c r="G116" s="1">
        <v>4.0</v>
      </c>
      <c r="H116" s="1" t="s">
        <v>4</v>
      </c>
    </row>
    <row r="117">
      <c r="A117" s="1" t="s">
        <v>355</v>
      </c>
      <c r="B117" s="1" t="s">
        <v>356</v>
      </c>
      <c r="C117" s="1" t="s">
        <v>641</v>
      </c>
      <c r="D117" s="1">
        <v>1.0</v>
      </c>
      <c r="E117" s="1">
        <v>0.0</v>
      </c>
      <c r="F117" s="1">
        <v>2.0</v>
      </c>
      <c r="G117" s="1" t="s">
        <v>417</v>
      </c>
      <c r="H117" s="1" t="s">
        <v>4</v>
      </c>
    </row>
    <row r="118">
      <c r="A118" s="1" t="s">
        <v>355</v>
      </c>
      <c r="B118" s="1" t="s">
        <v>356</v>
      </c>
      <c r="C118" s="1" t="s">
        <v>642</v>
      </c>
      <c r="D118" s="1" t="s">
        <v>364</v>
      </c>
      <c r="E118" s="1" t="s">
        <v>643</v>
      </c>
      <c r="F118" s="1" t="s">
        <v>366</v>
      </c>
      <c r="G118" s="1" t="s">
        <v>367</v>
      </c>
      <c r="H118" s="1" t="s">
        <v>5</v>
      </c>
    </row>
    <row r="119">
      <c r="A119" s="1" t="s">
        <v>355</v>
      </c>
      <c r="B119" s="1" t="s">
        <v>356</v>
      </c>
      <c r="C119" s="1" t="s">
        <v>644</v>
      </c>
      <c r="D119" s="1" t="s">
        <v>532</v>
      </c>
      <c r="E119" s="1" t="s">
        <v>645</v>
      </c>
      <c r="F119" s="1" t="s">
        <v>452</v>
      </c>
      <c r="G119" s="1" t="s">
        <v>646</v>
      </c>
      <c r="H119" s="1" t="s">
        <v>4</v>
      </c>
    </row>
    <row r="120">
      <c r="A120" s="1" t="s">
        <v>355</v>
      </c>
      <c r="B120" s="1" t="s">
        <v>356</v>
      </c>
      <c r="C120" s="1" t="s">
        <v>647</v>
      </c>
      <c r="D120" s="1" t="s">
        <v>648</v>
      </c>
      <c r="E120" s="1" t="s">
        <v>452</v>
      </c>
      <c r="F120" s="1" t="s">
        <v>645</v>
      </c>
      <c r="G120" s="1" t="s">
        <v>454</v>
      </c>
      <c r="H120" s="1" t="s">
        <v>3</v>
      </c>
    </row>
    <row r="121">
      <c r="A121" s="1" t="s">
        <v>355</v>
      </c>
      <c r="B121" s="1" t="s">
        <v>356</v>
      </c>
      <c r="C121" s="1" t="s">
        <v>649</v>
      </c>
      <c r="D121" s="1" t="s">
        <v>650</v>
      </c>
      <c r="E121" s="1" t="s">
        <v>651</v>
      </c>
      <c r="F121" s="1" t="s">
        <v>652</v>
      </c>
      <c r="G121" s="1" t="s">
        <v>653</v>
      </c>
      <c r="H121" s="1" t="s">
        <v>3</v>
      </c>
    </row>
    <row r="122">
      <c r="A122" s="1" t="s">
        <v>355</v>
      </c>
      <c r="B122" s="1" t="s">
        <v>356</v>
      </c>
      <c r="C122" s="1" t="s">
        <v>654</v>
      </c>
      <c r="D122" s="1" t="s">
        <v>532</v>
      </c>
      <c r="E122" s="1" t="s">
        <v>645</v>
      </c>
      <c r="F122" s="1" t="s">
        <v>32</v>
      </c>
      <c r="G122" s="1" t="s">
        <v>655</v>
      </c>
      <c r="H122" s="1" t="s">
        <v>4</v>
      </c>
    </row>
    <row r="123">
      <c r="A123" s="1" t="s">
        <v>355</v>
      </c>
      <c r="B123" s="1" t="s">
        <v>356</v>
      </c>
      <c r="C123" s="1" t="s">
        <v>656</v>
      </c>
      <c r="D123" s="1" t="s">
        <v>657</v>
      </c>
      <c r="E123" s="1" t="s">
        <v>658</v>
      </c>
      <c r="F123" s="1" t="s">
        <v>659</v>
      </c>
      <c r="G123" s="1" t="s">
        <v>660</v>
      </c>
      <c r="H123" s="1" t="s">
        <v>3</v>
      </c>
    </row>
    <row r="124">
      <c r="A124" s="1" t="s">
        <v>355</v>
      </c>
      <c r="B124" s="1" t="s">
        <v>356</v>
      </c>
      <c r="C124" s="1" t="s">
        <v>661</v>
      </c>
      <c r="D124" s="1">
        <v>2.0</v>
      </c>
      <c r="E124" s="1">
        <v>3.0</v>
      </c>
      <c r="F124" s="1">
        <v>1.0</v>
      </c>
      <c r="G124" s="1">
        <v>0.0</v>
      </c>
      <c r="H124" s="1" t="s">
        <v>4</v>
      </c>
    </row>
    <row r="125">
      <c r="A125" s="1" t="s">
        <v>355</v>
      </c>
      <c r="B125" s="1" t="s">
        <v>356</v>
      </c>
      <c r="C125" s="1" t="s">
        <v>662</v>
      </c>
      <c r="D125" s="1" t="s">
        <v>497</v>
      </c>
      <c r="E125" s="1" t="s">
        <v>663</v>
      </c>
      <c r="F125" s="1" t="s">
        <v>664</v>
      </c>
      <c r="G125" s="1" t="s">
        <v>665</v>
      </c>
      <c r="H125" s="1" t="s">
        <v>5</v>
      </c>
    </row>
    <row r="126">
      <c r="A126" s="1" t="s">
        <v>355</v>
      </c>
      <c r="B126" s="1" t="s">
        <v>356</v>
      </c>
      <c r="C126" s="1" t="s">
        <v>666</v>
      </c>
      <c r="D126" s="1" t="s">
        <v>667</v>
      </c>
      <c r="E126" s="1" t="s">
        <v>668</v>
      </c>
      <c r="F126" s="1" t="s">
        <v>669</v>
      </c>
      <c r="G126" s="1" t="s">
        <v>22</v>
      </c>
      <c r="H126" s="1" t="s">
        <v>3</v>
      </c>
    </row>
    <row r="127">
      <c r="A127" s="1" t="s">
        <v>355</v>
      </c>
      <c r="B127" s="1" t="s">
        <v>356</v>
      </c>
      <c r="C127" s="1" t="s">
        <v>670</v>
      </c>
      <c r="D127" s="1">
        <v>1.0</v>
      </c>
      <c r="E127" s="2">
        <v>46113.0</v>
      </c>
      <c r="F127" s="1">
        <v>-1.0</v>
      </c>
      <c r="G127" s="1" t="s">
        <v>671</v>
      </c>
      <c r="H127" s="1" t="s">
        <v>4</v>
      </c>
    </row>
    <row r="128">
      <c r="A128" s="1" t="s">
        <v>355</v>
      </c>
      <c r="B128" s="1" t="s">
        <v>356</v>
      </c>
      <c r="C128" s="1" t="s">
        <v>672</v>
      </c>
      <c r="D128" s="2">
        <v>46058.0</v>
      </c>
      <c r="E128" s="2">
        <v>46156.0</v>
      </c>
      <c r="F128" s="2">
        <v>46150.0</v>
      </c>
      <c r="G128" s="1" t="s">
        <v>440</v>
      </c>
      <c r="H128" s="1" t="s">
        <v>4</v>
      </c>
    </row>
    <row r="129">
      <c r="A129" s="1" t="s">
        <v>355</v>
      </c>
      <c r="B129" s="1" t="s">
        <v>356</v>
      </c>
      <c r="C129" s="1" t="s">
        <v>673</v>
      </c>
      <c r="D129" s="1">
        <v>-7.0</v>
      </c>
      <c r="E129" s="1">
        <v>7.0</v>
      </c>
      <c r="F129" s="1">
        <v>5.0</v>
      </c>
      <c r="G129" s="1">
        <v>9.0</v>
      </c>
      <c r="H129" s="1" t="s">
        <v>4</v>
      </c>
    </row>
    <row r="130">
      <c r="A130" s="1" t="s">
        <v>355</v>
      </c>
      <c r="B130" s="1" t="s">
        <v>356</v>
      </c>
      <c r="C130" s="1" t="s">
        <v>674</v>
      </c>
      <c r="D130" s="2">
        <v>46056.0</v>
      </c>
      <c r="E130" s="1" t="s">
        <v>487</v>
      </c>
      <c r="F130" s="2">
        <v>46058.0</v>
      </c>
      <c r="G130" s="1" t="s">
        <v>584</v>
      </c>
      <c r="H130" s="1" t="s">
        <v>4</v>
      </c>
    </row>
    <row r="131">
      <c r="A131" s="1" t="s">
        <v>355</v>
      </c>
      <c r="B131" s="1" t="s">
        <v>356</v>
      </c>
      <c r="C131" s="1" t="s">
        <v>675</v>
      </c>
      <c r="D131" s="1">
        <v>6.0</v>
      </c>
      <c r="E131" s="1">
        <v>-6.0</v>
      </c>
      <c r="F131" s="1">
        <v>8.0</v>
      </c>
      <c r="G131" s="1">
        <v>4.0</v>
      </c>
      <c r="H131" s="1" t="s">
        <v>3</v>
      </c>
    </row>
    <row r="132">
      <c r="A132" s="1" t="s">
        <v>355</v>
      </c>
      <c r="B132" s="1" t="s">
        <v>356</v>
      </c>
      <c r="C132" s="1" t="s">
        <v>676</v>
      </c>
      <c r="D132" s="1">
        <v>2.0</v>
      </c>
      <c r="E132" s="1">
        <v>5.0</v>
      </c>
      <c r="F132" s="2">
        <v>46054.0</v>
      </c>
      <c r="G132" s="1">
        <v>-2.0</v>
      </c>
      <c r="H132" s="1" t="s">
        <v>3</v>
      </c>
    </row>
    <row r="133">
      <c r="A133" s="1" t="s">
        <v>355</v>
      </c>
      <c r="B133" s="1" t="s">
        <v>356</v>
      </c>
      <c r="C133" s="1" t="s">
        <v>677</v>
      </c>
      <c r="D133" s="1">
        <v>25.0</v>
      </c>
      <c r="E133" s="1">
        <v>23.0</v>
      </c>
      <c r="F133" s="1">
        <v>27.0</v>
      </c>
      <c r="G133" s="1">
        <v>10.0</v>
      </c>
      <c r="H133" s="1" t="s">
        <v>4</v>
      </c>
    </row>
    <row r="134">
      <c r="A134" s="1" t="s">
        <v>355</v>
      </c>
      <c r="B134" s="1" t="s">
        <v>356</v>
      </c>
      <c r="C134" s="1" t="s">
        <v>678</v>
      </c>
      <c r="D134" s="1" t="s">
        <v>625</v>
      </c>
      <c r="E134" s="1" t="s">
        <v>679</v>
      </c>
      <c r="F134" s="1" t="s">
        <v>680</v>
      </c>
      <c r="G134" s="1" t="s">
        <v>401</v>
      </c>
      <c r="H134" s="1" t="s">
        <v>3</v>
      </c>
    </row>
    <row r="135">
      <c r="A135" s="1" t="s">
        <v>355</v>
      </c>
      <c r="B135" s="1" t="s">
        <v>356</v>
      </c>
      <c r="C135" s="1" t="s">
        <v>681</v>
      </c>
      <c r="D135" s="1" t="s">
        <v>682</v>
      </c>
      <c r="E135" s="1" t="s">
        <v>683</v>
      </c>
      <c r="F135" s="1" t="s">
        <v>322</v>
      </c>
      <c r="G135" s="1" t="s">
        <v>22</v>
      </c>
      <c r="H135" s="1" t="s">
        <v>3</v>
      </c>
    </row>
    <row r="136">
      <c r="A136" s="1" t="s">
        <v>355</v>
      </c>
      <c r="B136" s="1" t="s">
        <v>356</v>
      </c>
      <c r="C136" s="1" t="s">
        <v>684</v>
      </c>
      <c r="D136" s="1" t="s">
        <v>382</v>
      </c>
      <c r="E136" s="1" t="s">
        <v>383</v>
      </c>
      <c r="F136" s="1" t="s">
        <v>384</v>
      </c>
      <c r="G136" s="1" t="s">
        <v>582</v>
      </c>
      <c r="H136" s="1" t="s">
        <v>4</v>
      </c>
    </row>
    <row r="137">
      <c r="A137" s="1" t="s">
        <v>355</v>
      </c>
      <c r="B137" s="1" t="s">
        <v>356</v>
      </c>
      <c r="C137" s="1" t="s">
        <v>601</v>
      </c>
      <c r="D137" s="1" t="s">
        <v>371</v>
      </c>
      <c r="E137" s="1" t="s">
        <v>517</v>
      </c>
      <c r="F137" s="1" t="s">
        <v>369</v>
      </c>
      <c r="G137" s="1" t="s">
        <v>370</v>
      </c>
      <c r="H137" s="1" t="s">
        <v>4</v>
      </c>
    </row>
    <row r="138">
      <c r="A138" s="1" t="s">
        <v>355</v>
      </c>
      <c r="B138" s="1" t="s">
        <v>356</v>
      </c>
      <c r="C138" s="1" t="s">
        <v>685</v>
      </c>
      <c r="D138" s="1">
        <v>1.0</v>
      </c>
      <c r="E138" s="1">
        <v>-1.0</v>
      </c>
      <c r="F138" s="1">
        <v>0.0</v>
      </c>
      <c r="G138" s="1">
        <v>2.0</v>
      </c>
      <c r="H138" s="1" t="s">
        <v>4</v>
      </c>
    </row>
    <row r="139">
      <c r="A139" s="1" t="s">
        <v>355</v>
      </c>
      <c r="B139" s="1" t="s">
        <v>356</v>
      </c>
      <c r="C139" s="1" t="s">
        <v>686</v>
      </c>
      <c r="D139" s="1" t="s">
        <v>687</v>
      </c>
      <c r="E139" s="1" t="s">
        <v>688</v>
      </c>
      <c r="F139" s="1" t="s">
        <v>689</v>
      </c>
      <c r="G139" s="1" t="s">
        <v>690</v>
      </c>
      <c r="H139" s="1" t="s">
        <v>3</v>
      </c>
    </row>
    <row r="140">
      <c r="A140" s="1" t="s">
        <v>355</v>
      </c>
      <c r="B140" s="1" t="s">
        <v>356</v>
      </c>
      <c r="C140" s="1" t="s">
        <v>691</v>
      </c>
      <c r="D140" s="1">
        <v>0.0</v>
      </c>
      <c r="E140" s="1">
        <v>1.0</v>
      </c>
      <c r="F140" s="1">
        <v>2.0</v>
      </c>
      <c r="G140" s="1">
        <v>-1.0</v>
      </c>
      <c r="H140" s="1" t="s">
        <v>3</v>
      </c>
    </row>
    <row r="141">
      <c r="A141" s="1" t="s">
        <v>355</v>
      </c>
      <c r="B141" s="1" t="s">
        <v>356</v>
      </c>
      <c r="C141" s="1" t="s">
        <v>692</v>
      </c>
      <c r="D141" s="1">
        <v>2.0</v>
      </c>
      <c r="E141" s="1">
        <v>3.0</v>
      </c>
      <c r="F141" s="1">
        <v>0.0</v>
      </c>
      <c r="G141" s="1">
        <v>1.0</v>
      </c>
      <c r="H141" s="1" t="s">
        <v>4</v>
      </c>
    </row>
    <row r="142">
      <c r="A142" s="1" t="s">
        <v>355</v>
      </c>
      <c r="B142" s="1" t="s">
        <v>356</v>
      </c>
      <c r="C142" s="1" t="s">
        <v>693</v>
      </c>
      <c r="D142" s="1">
        <v>0.0</v>
      </c>
      <c r="E142" s="1">
        <v>1.0</v>
      </c>
      <c r="F142" s="1">
        <v>2.0</v>
      </c>
      <c r="G142" s="1" t="s">
        <v>586</v>
      </c>
      <c r="H142" s="1" t="s">
        <v>3</v>
      </c>
    </row>
    <row r="143">
      <c r="A143" s="1" t="s">
        <v>355</v>
      </c>
      <c r="B143" s="1" t="s">
        <v>356</v>
      </c>
      <c r="C143" s="1" t="s">
        <v>694</v>
      </c>
      <c r="D143" s="1" t="s">
        <v>516</v>
      </c>
      <c r="E143" s="1" t="s">
        <v>515</v>
      </c>
      <c r="F143" s="1" t="s">
        <v>543</v>
      </c>
      <c r="G143" s="1" t="s">
        <v>22</v>
      </c>
      <c r="H143" s="1" t="s">
        <v>4</v>
      </c>
    </row>
    <row r="144">
      <c r="A144" s="1" t="s">
        <v>355</v>
      </c>
      <c r="B144" s="1" t="s">
        <v>356</v>
      </c>
      <c r="C144" s="1" t="s">
        <v>695</v>
      </c>
      <c r="D144" s="1" t="s">
        <v>696</v>
      </c>
      <c r="E144" s="1" t="s">
        <v>697</v>
      </c>
      <c r="F144" s="1" t="s">
        <v>698</v>
      </c>
      <c r="G144" s="1" t="s">
        <v>699</v>
      </c>
      <c r="H144" s="1" t="s">
        <v>3</v>
      </c>
    </row>
    <row r="145">
      <c r="A145" s="1" t="s">
        <v>355</v>
      </c>
      <c r="B145" s="1" t="s">
        <v>356</v>
      </c>
      <c r="C145" s="1" t="s">
        <v>700</v>
      </c>
      <c r="D145" s="1" t="s">
        <v>701</v>
      </c>
      <c r="E145" s="1" t="s">
        <v>702</v>
      </c>
      <c r="F145" s="1" t="s">
        <v>53</v>
      </c>
      <c r="G145" s="1" t="s">
        <v>703</v>
      </c>
      <c r="H145" s="1" t="s">
        <v>4</v>
      </c>
    </row>
    <row r="146">
      <c r="A146" s="1" t="s">
        <v>355</v>
      </c>
      <c r="B146" s="1" t="s">
        <v>356</v>
      </c>
      <c r="C146" s="1" t="s">
        <v>704</v>
      </c>
      <c r="D146" s="5" t="str">
        <f>+4,−4</f>
        <v>#ERROR!</v>
      </c>
      <c r="E146" s="5" t="str">
        <f>+16,−16</f>
        <v>#ERROR!</v>
      </c>
      <c r="F146" s="5" t="str">
        <f>+8,−8</f>
        <v>#ERROR!</v>
      </c>
      <c r="G146" s="5" t="str">
        <f>+2,−2</f>
        <v>#ERROR!</v>
      </c>
      <c r="H146" s="1" t="s">
        <v>3</v>
      </c>
    </row>
    <row r="147">
      <c r="A147" s="1" t="s">
        <v>355</v>
      </c>
      <c r="B147" s="1" t="s">
        <v>356</v>
      </c>
      <c r="C147" s="1" t="s">
        <v>705</v>
      </c>
      <c r="D147" s="1">
        <v>1.0</v>
      </c>
      <c r="E147" s="1">
        <v>2.0</v>
      </c>
      <c r="F147" s="1">
        <v>3.0</v>
      </c>
      <c r="G147" s="1">
        <v>4.0</v>
      </c>
      <c r="H147" s="1" t="s">
        <v>4</v>
      </c>
    </row>
    <row r="148">
      <c r="A148" s="1" t="s">
        <v>355</v>
      </c>
      <c r="B148" s="1" t="s">
        <v>356</v>
      </c>
      <c r="C148" s="1" t="s">
        <v>706</v>
      </c>
      <c r="D148" s="1">
        <v>1.0</v>
      </c>
      <c r="E148" s="1">
        <v>2.0</v>
      </c>
      <c r="F148" s="1">
        <v>0.0</v>
      </c>
      <c r="G148" s="1">
        <v>-1.0</v>
      </c>
      <c r="H148" s="1" t="s">
        <v>5</v>
      </c>
    </row>
    <row r="149">
      <c r="A149" s="1" t="s">
        <v>355</v>
      </c>
      <c r="B149" s="1" t="s">
        <v>356</v>
      </c>
      <c r="C149" s="1" t="s">
        <v>707</v>
      </c>
      <c r="D149" s="1" t="s">
        <v>708</v>
      </c>
      <c r="E149" s="1" t="s">
        <v>709</v>
      </c>
      <c r="F149" s="1" t="s">
        <v>710</v>
      </c>
      <c r="G149" s="1" t="s">
        <v>711</v>
      </c>
      <c r="H149" s="1" t="s">
        <v>4</v>
      </c>
    </row>
    <row r="150">
      <c r="A150" s="1" t="s">
        <v>355</v>
      </c>
      <c r="B150" s="1" t="s">
        <v>356</v>
      </c>
      <c r="C150" s="1" t="s">
        <v>712</v>
      </c>
      <c r="D150" s="1">
        <v>0.0</v>
      </c>
      <c r="E150" s="1" t="s">
        <v>452</v>
      </c>
      <c r="F150" s="1" t="s">
        <v>648</v>
      </c>
      <c r="G150" s="1" t="s">
        <v>586</v>
      </c>
      <c r="H150" s="1" t="s">
        <v>4</v>
      </c>
    </row>
    <row r="151">
      <c r="A151" s="1" t="s">
        <v>355</v>
      </c>
      <c r="B151" s="1" t="s">
        <v>356</v>
      </c>
      <c r="C151" s="1" t="s">
        <v>713</v>
      </c>
      <c r="D151" s="1">
        <v>-4.0</v>
      </c>
      <c r="E151" s="1">
        <v>4.0</v>
      </c>
      <c r="F151" s="1">
        <v>7.0</v>
      </c>
      <c r="G151" s="1">
        <v>-7.0</v>
      </c>
      <c r="H151" s="1" t="s">
        <v>3</v>
      </c>
    </row>
    <row r="152">
      <c r="A152" s="1" t="s">
        <v>355</v>
      </c>
      <c r="B152" s="1" t="s">
        <v>356</v>
      </c>
      <c r="C152" s="1" t="s">
        <v>714</v>
      </c>
      <c r="D152" s="1">
        <v>4.0</v>
      </c>
      <c r="E152" s="1">
        <v>12.0</v>
      </c>
      <c r="F152" s="1">
        <v>3.0</v>
      </c>
      <c r="G152" s="1">
        <v>9.0</v>
      </c>
      <c r="H152" s="1" t="s">
        <v>4</v>
      </c>
    </row>
    <row r="153">
      <c r="A153" s="1" t="s">
        <v>355</v>
      </c>
      <c r="B153" s="1" t="s">
        <v>356</v>
      </c>
      <c r="C153" s="1" t="s">
        <v>715</v>
      </c>
      <c r="D153" s="4">
        <v>46023.0</v>
      </c>
      <c r="E153" s="1" t="s">
        <v>442</v>
      </c>
      <c r="F153" s="1" t="s">
        <v>716</v>
      </c>
      <c r="G153" s="1" t="s">
        <v>717</v>
      </c>
      <c r="H153" s="1" t="s">
        <v>3</v>
      </c>
    </row>
    <row r="154">
      <c r="A154" s="1" t="s">
        <v>355</v>
      </c>
      <c r="B154" s="1" t="s">
        <v>356</v>
      </c>
      <c r="C154" s="1" t="s">
        <v>718</v>
      </c>
      <c r="D154" s="1">
        <v>1.0</v>
      </c>
      <c r="E154" s="1">
        <v>2.0</v>
      </c>
      <c r="F154" s="1">
        <v>3.0</v>
      </c>
      <c r="G154" s="1">
        <v>4.0</v>
      </c>
      <c r="H154" s="1" t="s">
        <v>4</v>
      </c>
    </row>
    <row r="155">
      <c r="A155" s="1" t="s">
        <v>355</v>
      </c>
      <c r="B155" s="1" t="s">
        <v>356</v>
      </c>
      <c r="C155" s="1" t="s">
        <v>719</v>
      </c>
      <c r="D155" s="1" t="s">
        <v>71</v>
      </c>
      <c r="E155" s="1" t="s">
        <v>72</v>
      </c>
      <c r="F155" s="1" t="s">
        <v>720</v>
      </c>
      <c r="G155" s="1" t="s">
        <v>73</v>
      </c>
      <c r="H155" s="1" t="s">
        <v>4</v>
      </c>
    </row>
    <row r="156">
      <c r="A156" s="1" t="s">
        <v>355</v>
      </c>
      <c r="B156" s="1" t="s">
        <v>356</v>
      </c>
      <c r="C156" s="1" t="s">
        <v>372</v>
      </c>
      <c r="D156" s="1" t="s">
        <v>373</v>
      </c>
      <c r="E156" s="1" t="s">
        <v>375</v>
      </c>
      <c r="F156" s="1" t="s">
        <v>374</v>
      </c>
      <c r="G156" s="1" t="s">
        <v>511</v>
      </c>
      <c r="H156" s="1" t="s">
        <v>4</v>
      </c>
    </row>
    <row r="157">
      <c r="A157" s="1" t="s">
        <v>355</v>
      </c>
      <c r="B157" s="1" t="s">
        <v>356</v>
      </c>
      <c r="C157" s="1" t="s">
        <v>721</v>
      </c>
      <c r="D157" s="1" t="s">
        <v>722</v>
      </c>
      <c r="E157" s="1" t="s">
        <v>723</v>
      </c>
      <c r="F157" s="1" t="s">
        <v>724</v>
      </c>
      <c r="G157" s="1" t="s">
        <v>725</v>
      </c>
      <c r="H157" s="1" t="s">
        <v>4</v>
      </c>
    </row>
    <row r="158">
      <c r="A158" s="1" t="s">
        <v>355</v>
      </c>
      <c r="B158" s="1" t="s">
        <v>356</v>
      </c>
      <c r="C158" s="1" t="s">
        <v>726</v>
      </c>
      <c r="D158" s="1" t="s">
        <v>710</v>
      </c>
      <c r="E158" s="1" t="s">
        <v>727</v>
      </c>
      <c r="F158" s="1" t="s">
        <v>546</v>
      </c>
      <c r="G158" s="1" t="s">
        <v>547</v>
      </c>
      <c r="H158" s="1" t="s">
        <v>4</v>
      </c>
    </row>
    <row r="159">
      <c r="A159" s="1" t="s">
        <v>355</v>
      </c>
      <c r="B159" s="1" t="s">
        <v>356</v>
      </c>
      <c r="C159" s="1" t="s">
        <v>508</v>
      </c>
      <c r="D159" s="1">
        <v>1.0</v>
      </c>
      <c r="E159" s="1">
        <v>-1.0</v>
      </c>
      <c r="F159" s="1">
        <v>0.0</v>
      </c>
      <c r="G159" s="1" t="s">
        <v>28</v>
      </c>
      <c r="H159" s="1" t="s">
        <v>5</v>
      </c>
    </row>
    <row r="160">
      <c r="A160" s="1" t="s">
        <v>355</v>
      </c>
      <c r="B160" s="1" t="s">
        <v>356</v>
      </c>
      <c r="C160" s="1" t="s">
        <v>728</v>
      </c>
      <c r="D160" s="2">
        <v>46115.0</v>
      </c>
      <c r="E160" s="1" t="s">
        <v>729</v>
      </c>
      <c r="F160" s="2">
        <v>46085.0</v>
      </c>
      <c r="G160" s="1" t="s">
        <v>730</v>
      </c>
      <c r="H160" s="1" t="s">
        <v>6</v>
      </c>
    </row>
    <row r="161">
      <c r="A161" s="1" t="s">
        <v>355</v>
      </c>
      <c r="B161" s="1" t="s">
        <v>356</v>
      </c>
      <c r="C161" s="1" t="s">
        <v>731</v>
      </c>
      <c r="D161" s="1" t="s">
        <v>732</v>
      </c>
      <c r="E161" s="1" t="s">
        <v>497</v>
      </c>
      <c r="F161" s="1" t="s">
        <v>496</v>
      </c>
      <c r="G161" s="1" t="s">
        <v>733</v>
      </c>
      <c r="H161" s="1" t="s">
        <v>4</v>
      </c>
    </row>
    <row r="162">
      <c r="A162" s="1" t="s">
        <v>355</v>
      </c>
      <c r="B162" s="1" t="s">
        <v>356</v>
      </c>
      <c r="C162" s="1" t="s">
        <v>734</v>
      </c>
      <c r="D162" s="1">
        <v>3.0</v>
      </c>
      <c r="E162" s="1">
        <v>-3.0</v>
      </c>
      <c r="F162" s="1">
        <v>5.0</v>
      </c>
      <c r="G162" s="1">
        <v>-5.0</v>
      </c>
      <c r="H162" s="1" t="s">
        <v>5</v>
      </c>
    </row>
    <row r="163">
      <c r="A163" s="1" t="s">
        <v>355</v>
      </c>
      <c r="B163" s="1" t="s">
        <v>356</v>
      </c>
      <c r="C163" s="1" t="s">
        <v>735</v>
      </c>
      <c r="D163" s="1">
        <v>1.0</v>
      </c>
      <c r="E163" s="1">
        <v>2.0</v>
      </c>
      <c r="F163" s="1">
        <v>3.0</v>
      </c>
      <c r="G163" s="1">
        <v>0.0</v>
      </c>
      <c r="H163" s="1" t="s">
        <v>3</v>
      </c>
    </row>
    <row r="164">
      <c r="A164" s="1" t="s">
        <v>355</v>
      </c>
      <c r="B164" s="1" t="s">
        <v>356</v>
      </c>
      <c r="C164" s="1" t="s">
        <v>736</v>
      </c>
      <c r="D164" s="1" t="s">
        <v>737</v>
      </c>
      <c r="E164" s="1" t="s">
        <v>738</v>
      </c>
      <c r="F164" s="1">
        <v>5.0</v>
      </c>
      <c r="G164" s="1">
        <v>2.5</v>
      </c>
      <c r="H164" s="1" t="s">
        <v>4</v>
      </c>
    </row>
    <row r="165">
      <c r="A165" s="1" t="s">
        <v>355</v>
      </c>
      <c r="B165" s="1" t="s">
        <v>356</v>
      </c>
      <c r="C165" s="1" t="s">
        <v>739</v>
      </c>
      <c r="D165" s="1">
        <v>1.0</v>
      </c>
      <c r="E165" s="1">
        <v>2.0</v>
      </c>
      <c r="F165" s="1">
        <v>3.0</v>
      </c>
      <c r="G165" s="1">
        <v>-1.0</v>
      </c>
      <c r="H165" s="1" t="s">
        <v>5</v>
      </c>
    </row>
    <row r="166">
      <c r="A166" s="1" t="s">
        <v>355</v>
      </c>
      <c r="B166" s="1" t="s">
        <v>356</v>
      </c>
      <c r="C166" s="1" t="s">
        <v>740</v>
      </c>
      <c r="D166" s="1" t="s">
        <v>539</v>
      </c>
      <c r="E166" s="1" t="s">
        <v>540</v>
      </c>
      <c r="F166" s="1" t="s">
        <v>541</v>
      </c>
      <c r="G166" s="1" t="s">
        <v>22</v>
      </c>
      <c r="H166" s="1" t="s">
        <v>3</v>
      </c>
    </row>
    <row r="167">
      <c r="A167" s="1" t="s">
        <v>355</v>
      </c>
      <c r="B167" s="1" t="s">
        <v>356</v>
      </c>
      <c r="C167" s="1" t="s">
        <v>741</v>
      </c>
      <c r="D167" s="1" t="s">
        <v>742</v>
      </c>
      <c r="E167" s="1" t="s">
        <v>743</v>
      </c>
      <c r="F167" s="1" t="s">
        <v>497</v>
      </c>
      <c r="G167" s="1" t="s">
        <v>744</v>
      </c>
      <c r="H167" s="1" t="s">
        <v>3</v>
      </c>
    </row>
    <row r="168">
      <c r="A168" s="1" t="s">
        <v>355</v>
      </c>
      <c r="B168" s="1" t="s">
        <v>356</v>
      </c>
      <c r="C168" s="1" t="s">
        <v>745</v>
      </c>
      <c r="D168" s="1" t="s">
        <v>584</v>
      </c>
      <c r="E168" s="2">
        <v>46058.0</v>
      </c>
      <c r="F168" s="1" t="s">
        <v>487</v>
      </c>
      <c r="G168" s="2">
        <v>46056.0</v>
      </c>
      <c r="H168" s="1" t="s">
        <v>4</v>
      </c>
    </row>
    <row r="169">
      <c r="A169" s="1" t="s">
        <v>355</v>
      </c>
      <c r="B169" s="1" t="s">
        <v>356</v>
      </c>
      <c r="C169" s="1" t="s">
        <v>746</v>
      </c>
      <c r="D169" s="1">
        <v>1.0</v>
      </c>
      <c r="E169" s="1">
        <v>2.0</v>
      </c>
      <c r="F169" s="1">
        <v>3.0</v>
      </c>
      <c r="G169" s="1">
        <v>0.0</v>
      </c>
      <c r="H169" s="1" t="s">
        <v>4</v>
      </c>
    </row>
    <row r="170">
      <c r="A170" s="1" t="s">
        <v>355</v>
      </c>
      <c r="B170" s="1" t="s">
        <v>356</v>
      </c>
      <c r="C170" s="1" t="s">
        <v>747</v>
      </c>
      <c r="D170" s="1">
        <v>3.0</v>
      </c>
      <c r="E170" s="1">
        <v>-3.0</v>
      </c>
      <c r="F170" s="1">
        <v>1.0</v>
      </c>
      <c r="G170" s="1">
        <v>-1.0</v>
      </c>
      <c r="H170" s="1" t="s">
        <v>4</v>
      </c>
    </row>
    <row r="171">
      <c r="A171" s="1" t="s">
        <v>355</v>
      </c>
      <c r="B171" s="1" t="s">
        <v>356</v>
      </c>
      <c r="C171" s="1" t="s">
        <v>748</v>
      </c>
      <c r="D171" s="1" t="s">
        <v>749</v>
      </c>
      <c r="E171" s="1" t="s">
        <v>750</v>
      </c>
      <c r="F171" s="1" t="s">
        <v>751</v>
      </c>
      <c r="G171" s="1" t="s">
        <v>752</v>
      </c>
      <c r="H171" s="1" t="s">
        <v>3</v>
      </c>
    </row>
    <row r="172">
      <c r="A172" s="1" t="s">
        <v>355</v>
      </c>
      <c r="B172" s="1" t="s">
        <v>356</v>
      </c>
      <c r="C172" s="1" t="s">
        <v>753</v>
      </c>
      <c r="D172" s="1" t="s">
        <v>754</v>
      </c>
      <c r="E172" s="1" t="s">
        <v>405</v>
      </c>
      <c r="F172" s="1" t="s">
        <v>367</v>
      </c>
      <c r="G172" s="1">
        <v>5.0</v>
      </c>
      <c r="H172" s="1" t="s">
        <v>4</v>
      </c>
    </row>
    <row r="173">
      <c r="A173" s="1" t="s">
        <v>355</v>
      </c>
      <c r="B173" s="1" t="s">
        <v>356</v>
      </c>
      <c r="C173" s="1" t="s">
        <v>755</v>
      </c>
      <c r="D173" s="1" t="s">
        <v>532</v>
      </c>
      <c r="E173" s="1" t="s">
        <v>645</v>
      </c>
      <c r="F173" s="1" t="s">
        <v>452</v>
      </c>
      <c r="G173" s="1" t="s">
        <v>648</v>
      </c>
      <c r="H173" s="1" t="s">
        <v>4</v>
      </c>
    </row>
    <row r="174">
      <c r="A174" s="1" t="s">
        <v>355</v>
      </c>
      <c r="B174" s="1" t="s">
        <v>356</v>
      </c>
      <c r="C174" s="1" t="s">
        <v>533</v>
      </c>
      <c r="D174" s="1" t="s">
        <v>452</v>
      </c>
      <c r="E174" s="1" t="s">
        <v>646</v>
      </c>
      <c r="F174" s="1" t="s">
        <v>454</v>
      </c>
      <c r="G174" s="1" t="s">
        <v>648</v>
      </c>
      <c r="H174" s="1" t="s">
        <v>3</v>
      </c>
    </row>
    <row r="175">
      <c r="A175" s="1" t="s">
        <v>355</v>
      </c>
      <c r="B175" s="1" t="s">
        <v>356</v>
      </c>
      <c r="C175" s="1" t="s">
        <v>756</v>
      </c>
      <c r="D175" s="1">
        <v>1.0</v>
      </c>
      <c r="E175" s="1">
        <v>-1.0</v>
      </c>
      <c r="F175" s="1">
        <v>2.0</v>
      </c>
      <c r="G175" s="1">
        <v>-2.0</v>
      </c>
      <c r="H175" s="1" t="s">
        <v>4</v>
      </c>
    </row>
    <row r="176">
      <c r="A176" s="1" t="s">
        <v>355</v>
      </c>
      <c r="B176" s="1" t="s">
        <v>356</v>
      </c>
      <c r="C176" s="1" t="s">
        <v>757</v>
      </c>
      <c r="D176" s="2">
        <v>46086.0</v>
      </c>
      <c r="E176" s="1" t="s">
        <v>388</v>
      </c>
      <c r="F176" s="2">
        <v>46088.0</v>
      </c>
      <c r="G176" s="1" t="s">
        <v>758</v>
      </c>
      <c r="H176" s="1" t="s">
        <v>3</v>
      </c>
    </row>
    <row r="177">
      <c r="A177" s="1" t="s">
        <v>355</v>
      </c>
      <c r="B177" s="1" t="s">
        <v>356</v>
      </c>
      <c r="C177" s="1" t="s">
        <v>759</v>
      </c>
      <c r="D177" s="1">
        <v>7.0</v>
      </c>
      <c r="E177" s="1">
        <v>-7.0</v>
      </c>
      <c r="F177" s="1">
        <v>4.0</v>
      </c>
      <c r="G177" s="1">
        <v>-4.0</v>
      </c>
      <c r="H177" s="1" t="s">
        <v>4</v>
      </c>
    </row>
    <row r="178">
      <c r="A178" s="1" t="s">
        <v>355</v>
      </c>
      <c r="B178" s="1" t="s">
        <v>356</v>
      </c>
      <c r="C178" s="1" t="s">
        <v>760</v>
      </c>
      <c r="D178" s="4">
        <v>46023.0</v>
      </c>
      <c r="E178" s="1" t="s">
        <v>442</v>
      </c>
      <c r="F178" s="1" t="s">
        <v>716</v>
      </c>
      <c r="G178" s="1" t="s">
        <v>761</v>
      </c>
      <c r="H178" s="1" t="s">
        <v>5</v>
      </c>
    </row>
    <row r="179">
      <c r="A179" s="1" t="s">
        <v>355</v>
      </c>
      <c r="B179" s="1" t="s">
        <v>356</v>
      </c>
      <c r="C179" s="1" t="s">
        <v>762</v>
      </c>
      <c r="D179" s="1">
        <v>4.0</v>
      </c>
      <c r="E179" s="1">
        <v>-4.0</v>
      </c>
      <c r="F179" s="1">
        <v>3.0</v>
      </c>
      <c r="G179" s="1">
        <v>-3.0</v>
      </c>
      <c r="H179" s="1" t="s">
        <v>3</v>
      </c>
    </row>
    <row r="180">
      <c r="A180" s="1" t="s">
        <v>355</v>
      </c>
      <c r="B180" s="1" t="s">
        <v>356</v>
      </c>
      <c r="C180" s="1" t="s">
        <v>763</v>
      </c>
      <c r="D180" s="1" t="s">
        <v>764</v>
      </c>
      <c r="E180" s="1" t="s">
        <v>765</v>
      </c>
      <c r="F180" s="1" t="s">
        <v>407</v>
      </c>
      <c r="G180" s="1" t="s">
        <v>766</v>
      </c>
      <c r="H180" s="1" t="s">
        <v>5</v>
      </c>
    </row>
    <row r="181">
      <c r="A181" s="1" t="s">
        <v>355</v>
      </c>
      <c r="B181" s="1" t="s">
        <v>356</v>
      </c>
      <c r="C181" s="1" t="s">
        <v>767</v>
      </c>
      <c r="D181" s="1">
        <v>1.0</v>
      </c>
      <c r="E181" s="1">
        <v>2.0</v>
      </c>
      <c r="F181" s="1">
        <v>3.0</v>
      </c>
      <c r="G181" s="1">
        <v>4.0</v>
      </c>
      <c r="H181" s="1" t="s">
        <v>5</v>
      </c>
    </row>
    <row r="182">
      <c r="A182" s="1" t="s">
        <v>355</v>
      </c>
      <c r="B182" s="1" t="s">
        <v>356</v>
      </c>
      <c r="C182" s="1" t="s">
        <v>768</v>
      </c>
      <c r="D182" s="1" t="s">
        <v>605</v>
      </c>
      <c r="E182" s="1" t="s">
        <v>606</v>
      </c>
      <c r="F182" s="1" t="s">
        <v>27</v>
      </c>
      <c r="G182" s="1" t="s">
        <v>604</v>
      </c>
      <c r="H182" s="1" t="s">
        <v>3</v>
      </c>
    </row>
    <row r="183">
      <c r="A183" s="1" t="s">
        <v>355</v>
      </c>
      <c r="B183" s="1" t="s">
        <v>356</v>
      </c>
      <c r="C183" s="1" t="s">
        <v>769</v>
      </c>
      <c r="D183" s="1">
        <v>1.0</v>
      </c>
      <c r="E183" s="1">
        <v>2.0</v>
      </c>
      <c r="F183" s="1">
        <v>-2.0</v>
      </c>
      <c r="G183" s="1">
        <v>-1.0</v>
      </c>
      <c r="H183" s="1" t="s">
        <v>4</v>
      </c>
    </row>
    <row r="184">
      <c r="A184" s="1" t="s">
        <v>355</v>
      </c>
      <c r="B184" s="1" t="s">
        <v>356</v>
      </c>
      <c r="C184" s="1" t="s">
        <v>770</v>
      </c>
      <c r="D184" s="1" t="s">
        <v>771</v>
      </c>
      <c r="E184" s="1" t="s">
        <v>772</v>
      </c>
      <c r="F184" s="1" t="s">
        <v>773</v>
      </c>
      <c r="G184" s="1" t="s">
        <v>774</v>
      </c>
      <c r="H184" s="1" t="s">
        <v>3</v>
      </c>
    </row>
    <row r="185">
      <c r="A185" s="1" t="s">
        <v>355</v>
      </c>
      <c r="B185" s="1" t="s">
        <v>356</v>
      </c>
      <c r="C185" s="1" t="s">
        <v>775</v>
      </c>
      <c r="D185" s="1" t="s">
        <v>497</v>
      </c>
      <c r="E185" s="1" t="s">
        <v>496</v>
      </c>
      <c r="F185" s="1" t="s">
        <v>776</v>
      </c>
      <c r="G185" s="1" t="s">
        <v>777</v>
      </c>
      <c r="H185" s="1" t="s">
        <v>4</v>
      </c>
    </row>
    <row r="186">
      <c r="A186" s="1" t="s">
        <v>355</v>
      </c>
      <c r="B186" s="1" t="s">
        <v>356</v>
      </c>
      <c r="C186" s="1" t="s">
        <v>778</v>
      </c>
      <c r="D186" s="1">
        <v>2.0</v>
      </c>
      <c r="E186" s="1">
        <v>3.0</v>
      </c>
      <c r="F186" s="1">
        <v>5.0</v>
      </c>
      <c r="G186" s="1">
        <v>8.0</v>
      </c>
      <c r="H186" s="1" t="s">
        <v>3</v>
      </c>
    </row>
    <row r="187">
      <c r="A187" s="1" t="s">
        <v>355</v>
      </c>
      <c r="B187" s="1" t="s">
        <v>356</v>
      </c>
      <c r="C187" s="1" t="s">
        <v>779</v>
      </c>
      <c r="D187" s="4">
        <v>46083.0</v>
      </c>
      <c r="E187" s="1" t="s">
        <v>780</v>
      </c>
      <c r="F187" s="1" t="s">
        <v>781</v>
      </c>
      <c r="G187" s="1" t="s">
        <v>782</v>
      </c>
      <c r="H187" s="1" t="s">
        <v>3</v>
      </c>
    </row>
    <row r="188">
      <c r="A188" s="1" t="s">
        <v>355</v>
      </c>
      <c r="B188" s="1" t="s">
        <v>356</v>
      </c>
      <c r="C188" s="1" t="s">
        <v>783</v>
      </c>
      <c r="D188" s="1">
        <v>-1.0</v>
      </c>
      <c r="E188" s="1">
        <v>1.0</v>
      </c>
      <c r="F188" s="1">
        <v>2.0</v>
      </c>
      <c r="G188" s="1">
        <v>-2.0</v>
      </c>
      <c r="H188" s="1" t="s">
        <v>3</v>
      </c>
    </row>
    <row r="189">
      <c r="A189" s="1" t="s">
        <v>355</v>
      </c>
      <c r="B189" s="1" t="s">
        <v>356</v>
      </c>
      <c r="C189" s="1" t="s">
        <v>784</v>
      </c>
      <c r="D189" s="1" t="s">
        <v>785</v>
      </c>
      <c r="E189" s="1" t="s">
        <v>777</v>
      </c>
      <c r="F189" s="1" t="s">
        <v>546</v>
      </c>
      <c r="G189" s="1">
        <v>5.0</v>
      </c>
      <c r="H189" s="1" t="s">
        <v>4</v>
      </c>
    </row>
    <row r="190">
      <c r="A190" s="1" t="s">
        <v>355</v>
      </c>
      <c r="B190" s="1" t="s">
        <v>356</v>
      </c>
      <c r="C190" s="1" t="s">
        <v>786</v>
      </c>
      <c r="D190" s="1" t="s">
        <v>787</v>
      </c>
      <c r="E190" s="1" t="s">
        <v>788</v>
      </c>
      <c r="F190" s="1" t="s">
        <v>789</v>
      </c>
      <c r="G190" s="1" t="s">
        <v>790</v>
      </c>
      <c r="H190" s="1" t="s">
        <v>3</v>
      </c>
    </row>
    <row r="191">
      <c r="A191" s="1" t="s">
        <v>355</v>
      </c>
      <c r="B191" s="1" t="s">
        <v>356</v>
      </c>
      <c r="C191" s="1" t="s">
        <v>791</v>
      </c>
      <c r="D191" s="1">
        <v>0.0</v>
      </c>
      <c r="E191" s="1">
        <v>1.0</v>
      </c>
      <c r="F191" s="1">
        <v>2.0</v>
      </c>
      <c r="G191" s="1">
        <v>3.0</v>
      </c>
      <c r="H191" s="1" t="s">
        <v>6</v>
      </c>
    </row>
    <row r="192">
      <c r="A192" s="1" t="s">
        <v>355</v>
      </c>
      <c r="B192" s="1" t="s">
        <v>356</v>
      </c>
      <c r="C192" s="1" t="s">
        <v>792</v>
      </c>
      <c r="D192" s="1">
        <v>9.0</v>
      </c>
      <c r="E192" s="1">
        <v>-9.0</v>
      </c>
      <c r="F192" s="1">
        <v>6.0</v>
      </c>
      <c r="G192" s="1">
        <v>-6.0</v>
      </c>
      <c r="H192" s="1" t="s">
        <v>3</v>
      </c>
    </row>
    <row r="193">
      <c r="A193" s="1" t="s">
        <v>355</v>
      </c>
      <c r="B193" s="1" t="s">
        <v>356</v>
      </c>
      <c r="C193" s="1" t="s">
        <v>793</v>
      </c>
      <c r="D193" s="1" t="s">
        <v>794</v>
      </c>
      <c r="E193" s="1" t="s">
        <v>795</v>
      </c>
      <c r="F193" s="1" t="s">
        <v>796</v>
      </c>
      <c r="G193" s="1" t="s">
        <v>797</v>
      </c>
      <c r="H193" s="1" t="s">
        <v>3</v>
      </c>
    </row>
    <row r="194">
      <c r="A194" s="1" t="s">
        <v>355</v>
      </c>
      <c r="B194" s="1" t="s">
        <v>356</v>
      </c>
      <c r="C194" s="1" t="s">
        <v>798</v>
      </c>
      <c r="D194" s="1" t="s">
        <v>799</v>
      </c>
      <c r="E194" s="1" t="s">
        <v>800</v>
      </c>
      <c r="F194" s="4">
        <v>46238.0</v>
      </c>
      <c r="G194" s="1" t="s">
        <v>801</v>
      </c>
      <c r="H194" s="1" t="s">
        <v>3</v>
      </c>
    </row>
    <row r="195">
      <c r="A195" s="1" t="s">
        <v>355</v>
      </c>
      <c r="B195" s="1" t="s">
        <v>356</v>
      </c>
      <c r="C195" s="1" t="s">
        <v>802</v>
      </c>
      <c r="D195" s="1" t="s">
        <v>776</v>
      </c>
      <c r="E195" s="1" t="s">
        <v>777</v>
      </c>
      <c r="F195" s="1" t="s">
        <v>803</v>
      </c>
      <c r="G195" s="1" t="s">
        <v>498</v>
      </c>
      <c r="H195" s="1" t="s">
        <v>4</v>
      </c>
    </row>
    <row r="196">
      <c r="A196" s="1" t="s">
        <v>355</v>
      </c>
      <c r="B196" s="1" t="s">
        <v>356</v>
      </c>
      <c r="C196" s="1" t="s">
        <v>804</v>
      </c>
      <c r="D196" s="1">
        <v>2.0</v>
      </c>
      <c r="E196" s="1">
        <v>4.0</v>
      </c>
      <c r="F196" s="1">
        <v>6.0</v>
      </c>
      <c r="G196" s="1">
        <v>8.0</v>
      </c>
      <c r="H196" s="1" t="s">
        <v>3</v>
      </c>
    </row>
    <row r="197">
      <c r="A197" s="1" t="s">
        <v>355</v>
      </c>
      <c r="B197" s="1" t="s">
        <v>356</v>
      </c>
      <c r="C197" s="1" t="s">
        <v>805</v>
      </c>
      <c r="D197" s="1">
        <v>0.0</v>
      </c>
      <c r="E197" s="1">
        <v>1.0</v>
      </c>
      <c r="F197" s="1">
        <v>-1.0</v>
      </c>
      <c r="G197" s="1" t="s">
        <v>27</v>
      </c>
      <c r="H197" s="1"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806</v>
      </c>
      <c r="B2" s="1" t="s">
        <v>807</v>
      </c>
      <c r="C2" s="1" t="s">
        <v>808</v>
      </c>
      <c r="D2" s="1" t="s">
        <v>809</v>
      </c>
      <c r="E2" s="1" t="s">
        <v>810</v>
      </c>
      <c r="F2" s="1" t="s">
        <v>811</v>
      </c>
      <c r="G2" s="1" t="s">
        <v>812</v>
      </c>
      <c r="H2" s="1" t="s">
        <v>5</v>
      </c>
    </row>
    <row r="3">
      <c r="A3" s="1" t="s">
        <v>806</v>
      </c>
      <c r="B3" s="1" t="s">
        <v>807</v>
      </c>
      <c r="C3" s="1" t="s">
        <v>813</v>
      </c>
      <c r="D3" s="1">
        <v>5.0</v>
      </c>
      <c r="E3" s="1">
        <v>10.0</v>
      </c>
      <c r="F3" s="1">
        <v>6.0</v>
      </c>
      <c r="G3" s="1">
        <v>2.0</v>
      </c>
      <c r="H3" s="1" t="s">
        <v>4</v>
      </c>
    </row>
    <row r="4">
      <c r="A4" s="1" t="s">
        <v>806</v>
      </c>
      <c r="B4" s="1" t="s">
        <v>807</v>
      </c>
      <c r="C4" s="1" t="s">
        <v>814</v>
      </c>
      <c r="D4" s="1">
        <v>1.0</v>
      </c>
      <c r="E4" s="1">
        <v>-1.0</v>
      </c>
      <c r="F4" s="1">
        <v>2.0</v>
      </c>
      <c r="G4" s="1">
        <v>-2.0</v>
      </c>
      <c r="H4" s="1" t="s">
        <v>4</v>
      </c>
    </row>
    <row r="5">
      <c r="A5" s="1" t="s">
        <v>806</v>
      </c>
      <c r="B5" s="1" t="s">
        <v>807</v>
      </c>
      <c r="C5" s="1" t="s">
        <v>815</v>
      </c>
      <c r="D5" s="1" t="s">
        <v>816</v>
      </c>
      <c r="E5" s="1" t="s">
        <v>817</v>
      </c>
      <c r="F5" s="1" t="s">
        <v>818</v>
      </c>
      <c r="G5" s="1" t="s">
        <v>819</v>
      </c>
      <c r="H5" s="1" t="s">
        <v>3</v>
      </c>
    </row>
    <row r="6">
      <c r="A6" s="1" t="s">
        <v>806</v>
      </c>
      <c r="B6" s="1" t="s">
        <v>807</v>
      </c>
      <c r="C6" s="1" t="s">
        <v>820</v>
      </c>
      <c r="D6" s="1">
        <v>-10.0</v>
      </c>
      <c r="E6" s="1">
        <v>-5.0</v>
      </c>
      <c r="F6" s="1">
        <v>-15.0</v>
      </c>
      <c r="G6" s="1">
        <v>-6.0</v>
      </c>
      <c r="H6" s="1" t="s">
        <v>5</v>
      </c>
    </row>
    <row r="7">
      <c r="A7" s="1" t="s">
        <v>806</v>
      </c>
      <c r="B7" s="1" t="s">
        <v>807</v>
      </c>
      <c r="C7" s="1" t="s">
        <v>821</v>
      </c>
      <c r="D7" s="1">
        <v>2.0</v>
      </c>
      <c r="E7" s="1">
        <v>3.0</v>
      </c>
      <c r="F7" s="1">
        <v>4.0</v>
      </c>
      <c r="G7" s="1">
        <v>5.0</v>
      </c>
      <c r="H7" s="1" t="s">
        <v>3</v>
      </c>
    </row>
    <row r="8">
      <c r="A8" s="1" t="s">
        <v>806</v>
      </c>
      <c r="B8" s="1" t="s">
        <v>807</v>
      </c>
      <c r="C8" s="1" t="s">
        <v>822</v>
      </c>
      <c r="D8" s="1" t="s">
        <v>823</v>
      </c>
      <c r="E8" s="1" t="s">
        <v>824</v>
      </c>
      <c r="F8" s="1" t="s">
        <v>825</v>
      </c>
      <c r="G8" s="1" t="s">
        <v>826</v>
      </c>
      <c r="H8" s="1" t="s">
        <v>3</v>
      </c>
    </row>
    <row r="9">
      <c r="A9" s="1" t="s">
        <v>806</v>
      </c>
      <c r="B9" s="1" t="s">
        <v>807</v>
      </c>
      <c r="C9" s="1" t="s">
        <v>827</v>
      </c>
      <c r="D9" s="1" t="s">
        <v>828</v>
      </c>
      <c r="E9" s="1" t="s">
        <v>829</v>
      </c>
      <c r="F9" s="1" t="s">
        <v>417</v>
      </c>
      <c r="G9" s="1" t="s">
        <v>22</v>
      </c>
      <c r="H9" s="1" t="s">
        <v>4</v>
      </c>
    </row>
    <row r="10">
      <c r="A10" s="1" t="s">
        <v>806</v>
      </c>
      <c r="B10" s="1" t="s">
        <v>807</v>
      </c>
      <c r="C10" s="1" t="s">
        <v>830</v>
      </c>
      <c r="D10" s="2">
        <v>46143.0</v>
      </c>
      <c r="E10" s="1" t="s">
        <v>831</v>
      </c>
      <c r="F10" s="1" t="s">
        <v>832</v>
      </c>
      <c r="G10" s="1" t="s">
        <v>502</v>
      </c>
      <c r="H10" s="1" t="s">
        <v>3</v>
      </c>
    </row>
    <row r="11">
      <c r="A11" s="1" t="s">
        <v>806</v>
      </c>
      <c r="B11" s="1" t="s">
        <v>807</v>
      </c>
      <c r="C11" s="1" t="s">
        <v>833</v>
      </c>
      <c r="D11" s="1">
        <v>2.0</v>
      </c>
      <c r="E11" s="1">
        <v>3.0</v>
      </c>
      <c r="F11" s="1">
        <v>4.0</v>
      </c>
      <c r="G11" s="1">
        <v>6.0</v>
      </c>
      <c r="H11" s="1" t="s">
        <v>5</v>
      </c>
    </row>
    <row r="12">
      <c r="A12" s="1" t="s">
        <v>806</v>
      </c>
      <c r="B12" s="1" t="s">
        <v>807</v>
      </c>
      <c r="C12" s="1" t="s">
        <v>834</v>
      </c>
      <c r="D12" s="1" t="s">
        <v>835</v>
      </c>
      <c r="E12" s="1" t="s">
        <v>836</v>
      </c>
      <c r="F12" s="1" t="s">
        <v>474</v>
      </c>
      <c r="G12" s="1" t="s">
        <v>837</v>
      </c>
      <c r="H12" s="1" t="s">
        <v>5</v>
      </c>
    </row>
    <row r="13">
      <c r="A13" s="1" t="s">
        <v>806</v>
      </c>
      <c r="B13" s="1" t="s">
        <v>807</v>
      </c>
      <c r="C13" s="1" t="s">
        <v>838</v>
      </c>
      <c r="D13" s="1">
        <v>-1.0</v>
      </c>
      <c r="E13" s="1">
        <v>-2.0</v>
      </c>
      <c r="F13" s="1">
        <v>1.0</v>
      </c>
      <c r="G13" s="1">
        <v>2.0</v>
      </c>
      <c r="H13" s="1" t="s">
        <v>3</v>
      </c>
    </row>
    <row r="14">
      <c r="A14" s="1" t="s">
        <v>806</v>
      </c>
      <c r="B14" s="1" t="s">
        <v>807</v>
      </c>
      <c r="C14" s="1" t="s">
        <v>839</v>
      </c>
      <c r="D14" s="1" t="s">
        <v>840</v>
      </c>
      <c r="E14" s="1" t="s">
        <v>841</v>
      </c>
      <c r="F14" s="1" t="s">
        <v>842</v>
      </c>
      <c r="G14" s="1" t="s">
        <v>843</v>
      </c>
      <c r="H14" s="1" t="s">
        <v>3</v>
      </c>
    </row>
    <row r="15">
      <c r="A15" s="1" t="s">
        <v>806</v>
      </c>
      <c r="B15" s="1" t="s">
        <v>807</v>
      </c>
      <c r="C15" s="1" t="s">
        <v>844</v>
      </c>
      <c r="D15" s="4">
        <v>46252.0</v>
      </c>
      <c r="E15" s="4">
        <v>46311.0</v>
      </c>
      <c r="F15" s="4">
        <v>46193.0</v>
      </c>
      <c r="G15" s="4">
        <v>46191.0</v>
      </c>
      <c r="H15" s="1" t="s">
        <v>3</v>
      </c>
    </row>
    <row r="16">
      <c r="A16" s="1" t="s">
        <v>806</v>
      </c>
      <c r="B16" s="1" t="s">
        <v>807</v>
      </c>
      <c r="C16" s="1" t="s">
        <v>845</v>
      </c>
      <c r="D16" s="1" t="s">
        <v>846</v>
      </c>
      <c r="E16" s="1" t="s">
        <v>523</v>
      </c>
      <c r="F16" s="1" t="s">
        <v>847</v>
      </c>
      <c r="G16" s="1" t="s">
        <v>829</v>
      </c>
      <c r="H16" s="1" t="s">
        <v>3</v>
      </c>
    </row>
    <row r="17">
      <c r="A17" s="1" t="s">
        <v>806</v>
      </c>
      <c r="B17" s="1" t="s">
        <v>807</v>
      </c>
      <c r="C17" s="1" t="s">
        <v>848</v>
      </c>
      <c r="D17" s="1" t="s">
        <v>849</v>
      </c>
      <c r="E17" s="1" t="s">
        <v>850</v>
      </c>
      <c r="F17" s="1" t="s">
        <v>851</v>
      </c>
      <c r="G17" s="1" t="s">
        <v>22</v>
      </c>
      <c r="H17" s="1" t="s">
        <v>4</v>
      </c>
    </row>
    <row r="18">
      <c r="A18" s="1" t="s">
        <v>806</v>
      </c>
      <c r="B18" s="1" t="s">
        <v>807</v>
      </c>
      <c r="C18" s="1" t="s">
        <v>852</v>
      </c>
      <c r="D18" s="1">
        <v>-1.0</v>
      </c>
      <c r="E18" s="1">
        <v>1.0</v>
      </c>
      <c r="F18" s="1">
        <v>2.0</v>
      </c>
      <c r="G18" s="1">
        <v>-2.0</v>
      </c>
      <c r="H18" s="1" t="s">
        <v>3</v>
      </c>
    </row>
    <row r="19">
      <c r="A19" s="1" t="s">
        <v>806</v>
      </c>
      <c r="B19" s="1" t="s">
        <v>807</v>
      </c>
      <c r="C19" s="1" t="s">
        <v>853</v>
      </c>
      <c r="D19" s="1" t="s">
        <v>854</v>
      </c>
      <c r="E19" s="1" t="s">
        <v>855</v>
      </c>
      <c r="F19" s="1" t="s">
        <v>856</v>
      </c>
      <c r="G19" s="1" t="s">
        <v>857</v>
      </c>
      <c r="H19" s="1" t="s">
        <v>4</v>
      </c>
    </row>
    <row r="20">
      <c r="A20" s="1" t="s">
        <v>806</v>
      </c>
      <c r="B20" s="1" t="s">
        <v>807</v>
      </c>
      <c r="C20" s="1" t="s">
        <v>858</v>
      </c>
      <c r="D20" s="1" t="s">
        <v>859</v>
      </c>
      <c r="E20" s="1" t="s">
        <v>860</v>
      </c>
      <c r="F20" s="1" t="s">
        <v>861</v>
      </c>
      <c r="G20" s="1" t="s">
        <v>862</v>
      </c>
      <c r="H20" s="1" t="s">
        <v>4</v>
      </c>
    </row>
    <row r="21">
      <c r="A21" s="1" t="s">
        <v>806</v>
      </c>
      <c r="B21" s="1" t="s">
        <v>807</v>
      </c>
      <c r="C21" s="1" t="s">
        <v>863</v>
      </c>
      <c r="D21" s="1">
        <v>2.0</v>
      </c>
      <c r="E21" s="1">
        <v>3.0</v>
      </c>
      <c r="F21" s="1">
        <v>4.0</v>
      </c>
      <c r="G21" s="1">
        <v>5.0</v>
      </c>
      <c r="H21" s="1" t="s">
        <v>4</v>
      </c>
    </row>
    <row r="22">
      <c r="A22" s="1" t="s">
        <v>806</v>
      </c>
      <c r="B22" s="1" t="s">
        <v>807</v>
      </c>
      <c r="C22" s="1" t="s">
        <v>864</v>
      </c>
      <c r="D22" s="1">
        <v>-2.0</v>
      </c>
      <c r="E22" s="1">
        <v>2.0</v>
      </c>
      <c r="F22" s="1">
        <v>3.0</v>
      </c>
      <c r="G22" s="1">
        <v>-3.0</v>
      </c>
      <c r="H22" s="1" t="s">
        <v>3</v>
      </c>
    </row>
    <row r="23">
      <c r="A23" s="1" t="s">
        <v>806</v>
      </c>
      <c r="B23" s="1" t="s">
        <v>807</v>
      </c>
      <c r="C23" s="1" t="s">
        <v>865</v>
      </c>
      <c r="D23" s="1">
        <v>6.0</v>
      </c>
      <c r="E23" s="1">
        <v>-6.0</v>
      </c>
      <c r="F23" s="1">
        <v>4.0</v>
      </c>
      <c r="G23" s="1">
        <v>-4.0</v>
      </c>
      <c r="H23" s="1" t="s">
        <v>3</v>
      </c>
    </row>
    <row r="24">
      <c r="A24" s="1" t="s">
        <v>806</v>
      </c>
      <c r="B24" s="1" t="s">
        <v>807</v>
      </c>
      <c r="C24" s="1" t="s">
        <v>866</v>
      </c>
      <c r="D24" s="1" t="s">
        <v>867</v>
      </c>
      <c r="E24" s="1" t="s">
        <v>868</v>
      </c>
      <c r="F24" s="1" t="s">
        <v>869</v>
      </c>
      <c r="G24" s="1" t="s">
        <v>22</v>
      </c>
      <c r="H24" s="1" t="s">
        <v>3</v>
      </c>
    </row>
    <row r="25">
      <c r="A25" s="1" t="s">
        <v>806</v>
      </c>
      <c r="B25" s="1" t="s">
        <v>807</v>
      </c>
      <c r="C25" s="1" t="s">
        <v>870</v>
      </c>
      <c r="D25" s="2">
        <v>46144.0</v>
      </c>
      <c r="E25" s="2">
        <v>46145.0</v>
      </c>
      <c r="F25" s="2">
        <v>46239.0</v>
      </c>
      <c r="G25" s="2">
        <v>46207.0</v>
      </c>
      <c r="H25" s="1" t="s">
        <v>3</v>
      </c>
    </row>
    <row r="26">
      <c r="A26" s="1" t="s">
        <v>806</v>
      </c>
      <c r="B26" s="1" t="s">
        <v>807</v>
      </c>
      <c r="C26" s="1" t="s">
        <v>871</v>
      </c>
      <c r="D26" s="1">
        <v>5.0</v>
      </c>
      <c r="E26" s="1">
        <v>10.0</v>
      </c>
      <c r="F26" s="1">
        <v>20.0</v>
      </c>
      <c r="G26" s="1">
        <v>2.0</v>
      </c>
      <c r="H26" s="1" t="s">
        <v>4</v>
      </c>
    </row>
    <row r="27">
      <c r="A27" s="1" t="s">
        <v>806</v>
      </c>
      <c r="B27" s="1" t="s">
        <v>807</v>
      </c>
      <c r="C27" s="1" t="s">
        <v>872</v>
      </c>
      <c r="D27" s="1">
        <v>2.0</v>
      </c>
      <c r="E27" s="1">
        <v>3.0</v>
      </c>
      <c r="F27" s="1">
        <v>4.0</v>
      </c>
      <c r="G27" s="1">
        <v>5.0</v>
      </c>
      <c r="H27" s="1" t="s">
        <v>4</v>
      </c>
    </row>
    <row r="28">
      <c r="A28" s="1" t="s">
        <v>806</v>
      </c>
      <c r="B28" s="1" t="s">
        <v>807</v>
      </c>
      <c r="C28" s="1" t="s">
        <v>873</v>
      </c>
      <c r="D28" s="1" t="s">
        <v>874</v>
      </c>
      <c r="E28" s="1" t="s">
        <v>875</v>
      </c>
      <c r="F28" s="1" t="s">
        <v>876</v>
      </c>
      <c r="G28" s="1" t="s">
        <v>877</v>
      </c>
      <c r="H28" s="1" t="s">
        <v>3</v>
      </c>
    </row>
    <row r="29">
      <c r="A29" s="1" t="s">
        <v>806</v>
      </c>
      <c r="B29" s="1" t="s">
        <v>807</v>
      </c>
      <c r="C29" s="1" t="s">
        <v>878</v>
      </c>
      <c r="D29" s="1">
        <v>11.0</v>
      </c>
      <c r="E29" s="1">
        <v>-4.0</v>
      </c>
      <c r="F29" s="1">
        <v>7.0</v>
      </c>
      <c r="G29" s="1">
        <v>12.0</v>
      </c>
      <c r="H29" s="1" t="s">
        <v>3</v>
      </c>
    </row>
    <row r="30">
      <c r="A30" s="1" t="s">
        <v>806</v>
      </c>
      <c r="B30" s="1" t="s">
        <v>807</v>
      </c>
      <c r="C30" s="1" t="s">
        <v>879</v>
      </c>
      <c r="D30" s="1" t="s">
        <v>880</v>
      </c>
      <c r="E30" s="1" t="s">
        <v>836</v>
      </c>
      <c r="F30" s="1" t="s">
        <v>417</v>
      </c>
      <c r="G30" s="1" t="s">
        <v>881</v>
      </c>
      <c r="H30" s="1" t="s">
        <v>5</v>
      </c>
    </row>
    <row r="31">
      <c r="A31" s="1" t="s">
        <v>806</v>
      </c>
      <c r="B31" s="1" t="s">
        <v>807</v>
      </c>
      <c r="C31" s="1" t="s">
        <v>882</v>
      </c>
      <c r="D31" s="1" t="s">
        <v>883</v>
      </c>
      <c r="E31" s="1" t="s">
        <v>884</v>
      </c>
      <c r="F31" s="1" t="s">
        <v>885</v>
      </c>
      <c r="G31" s="1" t="s">
        <v>886</v>
      </c>
      <c r="H31" s="1" t="s">
        <v>6</v>
      </c>
    </row>
    <row r="32">
      <c r="A32" s="1" t="s">
        <v>806</v>
      </c>
      <c r="B32" s="1" t="s">
        <v>807</v>
      </c>
      <c r="C32" s="1" t="s">
        <v>887</v>
      </c>
      <c r="D32" s="1" t="s">
        <v>829</v>
      </c>
      <c r="E32" s="1" t="s">
        <v>888</v>
      </c>
      <c r="F32" s="1" t="s">
        <v>889</v>
      </c>
      <c r="G32" s="1" t="s">
        <v>890</v>
      </c>
      <c r="H32" s="1" t="s">
        <v>3</v>
      </c>
    </row>
    <row r="33">
      <c r="A33" s="1" t="s">
        <v>806</v>
      </c>
      <c r="B33" s="1" t="s">
        <v>807</v>
      </c>
      <c r="C33" s="1" t="s">
        <v>891</v>
      </c>
      <c r="D33" s="1" t="s">
        <v>892</v>
      </c>
      <c r="E33" s="1" t="s">
        <v>893</v>
      </c>
      <c r="F33" s="1" t="s">
        <v>894</v>
      </c>
      <c r="G33" s="1" t="s">
        <v>895</v>
      </c>
      <c r="H33" s="1" t="s">
        <v>4</v>
      </c>
    </row>
    <row r="34">
      <c r="A34" s="1" t="s">
        <v>806</v>
      </c>
      <c r="B34" s="1" t="s">
        <v>807</v>
      </c>
      <c r="C34" s="1" t="s">
        <v>896</v>
      </c>
      <c r="D34" s="1" t="s">
        <v>892</v>
      </c>
      <c r="E34" s="1" t="s">
        <v>893</v>
      </c>
      <c r="F34" s="1" t="s">
        <v>894</v>
      </c>
      <c r="G34" s="1" t="s">
        <v>857</v>
      </c>
      <c r="H34" s="1" t="s">
        <v>3</v>
      </c>
    </row>
    <row r="35">
      <c r="A35" s="1" t="s">
        <v>806</v>
      </c>
      <c r="B35" s="1" t="s">
        <v>807</v>
      </c>
      <c r="C35" s="1" t="s">
        <v>897</v>
      </c>
      <c r="D35" s="1">
        <v>63.0</v>
      </c>
      <c r="E35" s="1">
        <v>36.0</v>
      </c>
      <c r="F35" s="1">
        <v>72.0</v>
      </c>
      <c r="G35" s="1">
        <v>54.0</v>
      </c>
      <c r="H35" s="1" t="s">
        <v>3</v>
      </c>
    </row>
    <row r="36">
      <c r="A36" s="1" t="s">
        <v>806</v>
      </c>
      <c r="B36" s="1" t="s">
        <v>807</v>
      </c>
      <c r="C36" s="1" t="s">
        <v>898</v>
      </c>
      <c r="D36" s="1">
        <v>4.0</v>
      </c>
      <c r="E36" s="1">
        <v>3.0</v>
      </c>
      <c r="F36" s="1">
        <v>2.0</v>
      </c>
      <c r="G36" s="1">
        <v>5.0</v>
      </c>
      <c r="H36" s="1" t="s">
        <v>3</v>
      </c>
    </row>
    <row r="37">
      <c r="A37" s="1" t="s">
        <v>806</v>
      </c>
      <c r="B37" s="1" t="s">
        <v>807</v>
      </c>
      <c r="C37" s="1" t="s">
        <v>899</v>
      </c>
      <c r="D37" s="1" t="s">
        <v>900</v>
      </c>
      <c r="E37" s="1" t="s">
        <v>901</v>
      </c>
      <c r="F37" s="1" t="s">
        <v>902</v>
      </c>
      <c r="G37" s="1" t="s">
        <v>524</v>
      </c>
      <c r="H37" s="1" t="s">
        <v>3</v>
      </c>
    </row>
    <row r="38">
      <c r="A38" s="1" t="s">
        <v>806</v>
      </c>
      <c r="B38" s="1" t="s">
        <v>807</v>
      </c>
      <c r="C38" s="1" t="s">
        <v>903</v>
      </c>
      <c r="D38" s="1" t="s">
        <v>523</v>
      </c>
      <c r="E38" s="1" t="s">
        <v>846</v>
      </c>
      <c r="F38" s="1" t="s">
        <v>904</v>
      </c>
      <c r="G38" s="1" t="s">
        <v>905</v>
      </c>
      <c r="H38" s="1" t="s">
        <v>4</v>
      </c>
    </row>
    <row r="39">
      <c r="A39" s="1" t="s">
        <v>806</v>
      </c>
      <c r="B39" s="1" t="s">
        <v>807</v>
      </c>
      <c r="C39" s="1" t="s">
        <v>906</v>
      </c>
      <c r="D39" s="1" t="s">
        <v>907</v>
      </c>
      <c r="E39" s="1" t="s">
        <v>908</v>
      </c>
      <c r="F39" s="1" t="s">
        <v>909</v>
      </c>
      <c r="G39" s="1" t="s">
        <v>910</v>
      </c>
      <c r="H39" s="1" t="s">
        <v>3</v>
      </c>
    </row>
    <row r="40">
      <c r="A40" s="1" t="s">
        <v>806</v>
      </c>
      <c r="B40" s="1" t="s">
        <v>807</v>
      </c>
      <c r="C40" s="1" t="s">
        <v>911</v>
      </c>
      <c r="D40" s="1" t="s">
        <v>912</v>
      </c>
      <c r="E40" s="1" t="s">
        <v>913</v>
      </c>
      <c r="F40" s="1" t="s">
        <v>914</v>
      </c>
      <c r="G40" s="1" t="s">
        <v>915</v>
      </c>
      <c r="H40" s="1" t="s">
        <v>3</v>
      </c>
    </row>
    <row r="41">
      <c r="A41" s="1" t="s">
        <v>806</v>
      </c>
      <c r="B41" s="1" t="s">
        <v>807</v>
      </c>
      <c r="C41" s="1" t="s">
        <v>916</v>
      </c>
      <c r="D41" s="1" t="s">
        <v>917</v>
      </c>
      <c r="E41" s="1" t="s">
        <v>918</v>
      </c>
      <c r="F41" s="1" t="s">
        <v>919</v>
      </c>
      <c r="G41" s="1" t="s">
        <v>920</v>
      </c>
      <c r="H41" s="1" t="s">
        <v>4</v>
      </c>
    </row>
    <row r="42">
      <c r="A42" s="1" t="s">
        <v>806</v>
      </c>
      <c r="B42" s="1" t="s">
        <v>807</v>
      </c>
      <c r="C42" s="1" t="s">
        <v>921</v>
      </c>
      <c r="D42" s="1" t="s">
        <v>922</v>
      </c>
      <c r="E42" s="1" t="s">
        <v>923</v>
      </c>
      <c r="F42" s="1" t="s">
        <v>924</v>
      </c>
      <c r="G42" s="1" t="s">
        <v>925</v>
      </c>
      <c r="H42" s="1" t="s">
        <v>4</v>
      </c>
    </row>
    <row r="43">
      <c r="A43" s="1" t="s">
        <v>806</v>
      </c>
      <c r="B43" s="1" t="s">
        <v>807</v>
      </c>
      <c r="C43" s="1" t="s">
        <v>926</v>
      </c>
      <c r="D43" s="1" t="s">
        <v>927</v>
      </c>
      <c r="E43" s="1" t="s">
        <v>928</v>
      </c>
      <c r="F43" s="1" t="s">
        <v>929</v>
      </c>
      <c r="G43" s="1" t="s">
        <v>930</v>
      </c>
      <c r="H43" s="1" t="s">
        <v>3</v>
      </c>
    </row>
    <row r="44">
      <c r="A44" s="1" t="s">
        <v>806</v>
      </c>
      <c r="B44" s="1" t="s">
        <v>807</v>
      </c>
      <c r="C44" s="1" t="s">
        <v>931</v>
      </c>
      <c r="D44" s="1">
        <v>2.0</v>
      </c>
      <c r="E44" s="1">
        <v>8.0</v>
      </c>
      <c r="F44" s="1">
        <v>4.0</v>
      </c>
      <c r="G44" s="1">
        <v>6.0</v>
      </c>
      <c r="H44" s="1" t="s">
        <v>3</v>
      </c>
    </row>
    <row r="45">
      <c r="A45" s="1" t="s">
        <v>806</v>
      </c>
      <c r="B45" s="1" t="s">
        <v>807</v>
      </c>
      <c r="C45" s="1" t="s">
        <v>932</v>
      </c>
      <c r="D45" s="1" t="s">
        <v>933</v>
      </c>
      <c r="E45" s="1" t="s">
        <v>934</v>
      </c>
      <c r="F45" s="1" t="s">
        <v>935</v>
      </c>
      <c r="G45" s="1" t="s">
        <v>936</v>
      </c>
      <c r="H45" s="1" t="s">
        <v>3</v>
      </c>
    </row>
    <row r="46">
      <c r="A46" s="1" t="s">
        <v>806</v>
      </c>
      <c r="B46" s="1" t="s">
        <v>807</v>
      </c>
      <c r="C46" s="1" t="s">
        <v>937</v>
      </c>
      <c r="D46" s="1" t="s">
        <v>938</v>
      </c>
      <c r="E46" s="1" t="s">
        <v>939</v>
      </c>
      <c r="F46" s="1" t="s">
        <v>940</v>
      </c>
      <c r="G46" s="1" t="s">
        <v>941</v>
      </c>
      <c r="H46" s="1" t="s">
        <v>3</v>
      </c>
    </row>
    <row r="47">
      <c r="A47" s="1" t="s">
        <v>806</v>
      </c>
      <c r="B47" s="1" t="s">
        <v>807</v>
      </c>
      <c r="C47" s="1" t="s">
        <v>942</v>
      </c>
      <c r="D47" s="1" t="s">
        <v>943</v>
      </c>
      <c r="E47" s="1" t="s">
        <v>944</v>
      </c>
      <c r="F47" s="1" t="s">
        <v>945</v>
      </c>
      <c r="G47" s="1" t="s">
        <v>946</v>
      </c>
      <c r="H47" s="1" t="s">
        <v>4</v>
      </c>
    </row>
    <row r="48">
      <c r="A48" s="1" t="s">
        <v>806</v>
      </c>
      <c r="B48" s="1" t="s">
        <v>807</v>
      </c>
      <c r="C48" s="1" t="s">
        <v>947</v>
      </c>
      <c r="D48" s="1" t="s">
        <v>948</v>
      </c>
      <c r="E48" s="1" t="s">
        <v>949</v>
      </c>
      <c r="F48" s="1" t="s">
        <v>950</v>
      </c>
      <c r="G48" s="1" t="s">
        <v>22</v>
      </c>
      <c r="H48" s="1" t="s">
        <v>4</v>
      </c>
    </row>
    <row r="49">
      <c r="A49" s="1" t="s">
        <v>806</v>
      </c>
      <c r="B49" s="1" t="s">
        <v>807</v>
      </c>
      <c r="C49" s="1" t="s">
        <v>951</v>
      </c>
      <c r="D49" s="1" t="s">
        <v>952</v>
      </c>
      <c r="E49" s="1" t="s">
        <v>953</v>
      </c>
      <c r="F49" s="1" t="s">
        <v>954</v>
      </c>
      <c r="G49" s="1" t="s">
        <v>955</v>
      </c>
      <c r="H49" s="1" t="s">
        <v>4</v>
      </c>
    </row>
    <row r="50">
      <c r="A50" s="1" t="s">
        <v>806</v>
      </c>
      <c r="B50" s="1" t="s">
        <v>807</v>
      </c>
      <c r="C50" s="1" t="s">
        <v>956</v>
      </c>
      <c r="D50" s="1" t="s">
        <v>842</v>
      </c>
      <c r="E50" s="1" t="s">
        <v>841</v>
      </c>
      <c r="F50" s="1" t="s">
        <v>840</v>
      </c>
      <c r="G50" s="1" t="s">
        <v>22</v>
      </c>
      <c r="H50" s="1" t="s">
        <v>3</v>
      </c>
    </row>
    <row r="51">
      <c r="A51" s="1" t="s">
        <v>806</v>
      </c>
      <c r="B51" s="1" t="s">
        <v>807</v>
      </c>
      <c r="C51" s="1" t="s">
        <v>957</v>
      </c>
      <c r="D51" s="1" t="s">
        <v>868</v>
      </c>
      <c r="E51" s="1" t="s">
        <v>867</v>
      </c>
      <c r="F51" s="1" t="s">
        <v>869</v>
      </c>
      <c r="G51" s="1" t="s">
        <v>22</v>
      </c>
      <c r="H51" s="1" t="s">
        <v>3</v>
      </c>
    </row>
    <row r="52">
      <c r="A52" s="1" t="s">
        <v>806</v>
      </c>
      <c r="B52" s="1" t="s">
        <v>807</v>
      </c>
      <c r="C52" s="1" t="s">
        <v>958</v>
      </c>
      <c r="D52" s="1" t="s">
        <v>959</v>
      </c>
      <c r="E52" s="1" t="s">
        <v>960</v>
      </c>
      <c r="F52" s="1" t="s">
        <v>961</v>
      </c>
      <c r="G52" s="1" t="s">
        <v>962</v>
      </c>
      <c r="H52" s="1" t="s">
        <v>6</v>
      </c>
    </row>
    <row r="53">
      <c r="A53" s="1" t="s">
        <v>806</v>
      </c>
      <c r="B53" s="1" t="s">
        <v>807</v>
      </c>
      <c r="C53" s="1" t="s">
        <v>963</v>
      </c>
      <c r="D53" s="1">
        <v>0.0</v>
      </c>
      <c r="E53" s="1">
        <v>4.0</v>
      </c>
      <c r="F53" s="1">
        <v>-4.0</v>
      </c>
      <c r="G53" s="1">
        <v>1.0</v>
      </c>
      <c r="H53" s="1" t="s">
        <v>3</v>
      </c>
    </row>
    <row r="54">
      <c r="A54" s="1" t="s">
        <v>806</v>
      </c>
      <c r="B54" s="1" t="s">
        <v>807</v>
      </c>
      <c r="C54" s="1" t="s">
        <v>964</v>
      </c>
      <c r="D54" s="2">
        <v>46178.0</v>
      </c>
      <c r="E54" s="2">
        <v>46148.0</v>
      </c>
      <c r="F54" s="1">
        <v>1.0</v>
      </c>
      <c r="G54" s="1">
        <v>2.0</v>
      </c>
      <c r="H54" s="1" t="s">
        <v>4</v>
      </c>
    </row>
    <row r="55">
      <c r="A55" s="1" t="s">
        <v>806</v>
      </c>
      <c r="B55" s="1" t="s">
        <v>807</v>
      </c>
      <c r="C55" s="1" t="s">
        <v>965</v>
      </c>
      <c r="D55" s="2">
        <v>46088.0</v>
      </c>
      <c r="E55" s="1" t="s">
        <v>758</v>
      </c>
      <c r="F55" s="2">
        <v>46206.0</v>
      </c>
      <c r="G55" s="1">
        <v>1.0</v>
      </c>
      <c r="H55" s="1" t="s">
        <v>3</v>
      </c>
    </row>
    <row r="56">
      <c r="A56" s="1" t="s">
        <v>806</v>
      </c>
      <c r="B56" s="1" t="s">
        <v>807</v>
      </c>
      <c r="C56" s="1" t="s">
        <v>966</v>
      </c>
      <c r="D56" s="1" t="s">
        <v>967</v>
      </c>
      <c r="E56" s="1" t="s">
        <v>968</v>
      </c>
      <c r="F56" s="1" t="s">
        <v>969</v>
      </c>
      <c r="G56" s="1" t="s">
        <v>970</v>
      </c>
      <c r="H56" s="1" t="s">
        <v>4</v>
      </c>
    </row>
    <row r="57">
      <c r="A57" s="1" t="s">
        <v>806</v>
      </c>
      <c r="B57" s="1" t="s">
        <v>807</v>
      </c>
      <c r="C57" s="1" t="s">
        <v>971</v>
      </c>
      <c r="D57" s="1" t="s">
        <v>972</v>
      </c>
      <c r="E57" s="1" t="s">
        <v>973</v>
      </c>
      <c r="F57" s="1" t="s">
        <v>974</v>
      </c>
      <c r="G57" s="1" t="s">
        <v>975</v>
      </c>
      <c r="H57" s="1" t="s">
        <v>3</v>
      </c>
    </row>
    <row r="58">
      <c r="A58" s="1" t="s">
        <v>806</v>
      </c>
      <c r="B58" s="1" t="s">
        <v>807</v>
      </c>
      <c r="C58" s="1" t="s">
        <v>976</v>
      </c>
      <c r="D58" s="1" t="s">
        <v>977</v>
      </c>
      <c r="E58" s="1" t="s">
        <v>978</v>
      </c>
      <c r="F58" s="1" t="s">
        <v>979</v>
      </c>
      <c r="G58" s="1" t="s">
        <v>881</v>
      </c>
      <c r="H58" s="1" t="s">
        <v>5</v>
      </c>
    </row>
    <row r="59">
      <c r="A59" s="1" t="s">
        <v>806</v>
      </c>
      <c r="B59" s="1" t="s">
        <v>807</v>
      </c>
      <c r="C59" s="1" t="s">
        <v>980</v>
      </c>
      <c r="D59" s="1">
        <v>3.5</v>
      </c>
      <c r="E59" s="1">
        <v>4.5</v>
      </c>
      <c r="F59" s="1">
        <v>2.5</v>
      </c>
      <c r="G59" s="1">
        <v>3.0</v>
      </c>
      <c r="H59" s="1" t="s">
        <v>3</v>
      </c>
    </row>
    <row r="60">
      <c r="A60" s="1" t="s">
        <v>806</v>
      </c>
      <c r="B60" s="1" t="s">
        <v>807</v>
      </c>
      <c r="C60" s="1" t="s">
        <v>981</v>
      </c>
      <c r="D60" s="1" t="s">
        <v>982</v>
      </c>
      <c r="E60" s="1" t="s">
        <v>983</v>
      </c>
      <c r="F60" s="1" t="s">
        <v>984</v>
      </c>
      <c r="G60" s="1" t="s">
        <v>985</v>
      </c>
      <c r="H60" s="1" t="s">
        <v>5</v>
      </c>
    </row>
    <row r="61">
      <c r="A61" s="1" t="s">
        <v>806</v>
      </c>
      <c r="B61" s="1" t="s">
        <v>807</v>
      </c>
      <c r="C61" s="1" t="s">
        <v>986</v>
      </c>
      <c r="D61" s="1" t="s">
        <v>828</v>
      </c>
      <c r="E61" s="1" t="s">
        <v>837</v>
      </c>
      <c r="F61" s="1" t="s">
        <v>987</v>
      </c>
      <c r="G61" s="1" t="s">
        <v>836</v>
      </c>
      <c r="H61" s="1" t="s">
        <v>5</v>
      </c>
    </row>
    <row r="62">
      <c r="A62" s="1" t="s">
        <v>806</v>
      </c>
      <c r="B62" s="1" t="s">
        <v>807</v>
      </c>
      <c r="C62" s="1" t="s">
        <v>988</v>
      </c>
      <c r="D62" s="1" t="s">
        <v>847</v>
      </c>
      <c r="E62" s="1" t="s">
        <v>989</v>
      </c>
      <c r="F62" s="1" t="s">
        <v>990</v>
      </c>
      <c r="G62" s="1" t="s">
        <v>991</v>
      </c>
      <c r="H62" s="1" t="s">
        <v>3</v>
      </c>
    </row>
    <row r="63">
      <c r="A63" s="1" t="s">
        <v>806</v>
      </c>
      <c r="B63" s="1" t="s">
        <v>807</v>
      </c>
      <c r="C63" s="1" t="s">
        <v>992</v>
      </c>
      <c r="D63" s="1" t="s">
        <v>993</v>
      </c>
      <c r="E63" s="1" t="s">
        <v>994</v>
      </c>
      <c r="F63" s="1" t="s">
        <v>516</v>
      </c>
      <c r="G63" s="1" t="s">
        <v>543</v>
      </c>
      <c r="H63" s="1" t="s">
        <v>3</v>
      </c>
    </row>
    <row r="64">
      <c r="A64" s="1" t="s">
        <v>806</v>
      </c>
      <c r="B64" s="1" t="s">
        <v>807</v>
      </c>
      <c r="C64" s="1" t="s">
        <v>995</v>
      </c>
      <c r="D64" s="1">
        <v>4.0</v>
      </c>
      <c r="E64" s="1">
        <v>2.0</v>
      </c>
      <c r="F64" s="1">
        <v>1.0</v>
      </c>
      <c r="G64" s="1">
        <v>8.0</v>
      </c>
      <c r="H64" s="1" t="s">
        <v>3</v>
      </c>
    </row>
    <row r="65">
      <c r="A65" s="1" t="s">
        <v>806</v>
      </c>
      <c r="B65" s="1" t="s">
        <v>807</v>
      </c>
      <c r="C65" s="1" t="s">
        <v>996</v>
      </c>
      <c r="D65" s="1" t="s">
        <v>997</v>
      </c>
      <c r="E65" s="4">
        <v>46325.0</v>
      </c>
      <c r="F65" s="1" t="s">
        <v>998</v>
      </c>
      <c r="G65" s="1" t="s">
        <v>999</v>
      </c>
      <c r="H65" s="1" t="s">
        <v>3</v>
      </c>
    </row>
    <row r="66">
      <c r="A66" s="1" t="s">
        <v>806</v>
      </c>
      <c r="B66" s="1" t="s">
        <v>807</v>
      </c>
      <c r="C66" s="1" t="s">
        <v>1000</v>
      </c>
      <c r="D66" s="1" t="s">
        <v>633</v>
      </c>
      <c r="E66" s="1" t="s">
        <v>1001</v>
      </c>
      <c r="F66" s="1" t="s">
        <v>1002</v>
      </c>
      <c r="G66" s="1" t="s">
        <v>1003</v>
      </c>
      <c r="H66" s="1" t="s">
        <v>3</v>
      </c>
    </row>
    <row r="67">
      <c r="A67" s="1" t="s">
        <v>806</v>
      </c>
      <c r="B67" s="1" t="s">
        <v>807</v>
      </c>
      <c r="C67" s="1" t="s">
        <v>1004</v>
      </c>
      <c r="D67" s="1" t="s">
        <v>1005</v>
      </c>
      <c r="E67" s="1" t="s">
        <v>1006</v>
      </c>
      <c r="F67" s="1" t="s">
        <v>1007</v>
      </c>
      <c r="G67" s="1" t="s">
        <v>1008</v>
      </c>
      <c r="H67" s="1" t="s">
        <v>3</v>
      </c>
    </row>
    <row r="68">
      <c r="A68" s="1" t="s">
        <v>806</v>
      </c>
      <c r="B68" s="1" t="s">
        <v>807</v>
      </c>
      <c r="C68" s="1" t="s">
        <v>1009</v>
      </c>
      <c r="D68" s="1">
        <v>9.0</v>
      </c>
      <c r="E68" s="1">
        <v>6.0</v>
      </c>
      <c r="F68" s="1">
        <v>3.0</v>
      </c>
      <c r="G68" s="1">
        <v>12.0</v>
      </c>
      <c r="H68" s="1" t="s">
        <v>3</v>
      </c>
    </row>
    <row r="69">
      <c r="A69" s="1" t="s">
        <v>806</v>
      </c>
      <c r="B69" s="1" t="s">
        <v>807</v>
      </c>
      <c r="C69" s="1" t="s">
        <v>1010</v>
      </c>
      <c r="D69" s="1" t="s">
        <v>849</v>
      </c>
      <c r="E69" s="1" t="s">
        <v>850</v>
      </c>
      <c r="F69" s="1" t="s">
        <v>99</v>
      </c>
      <c r="G69" s="1" t="s">
        <v>837</v>
      </c>
      <c r="H69" s="1" t="s">
        <v>4</v>
      </c>
    </row>
    <row r="70">
      <c r="A70" s="1" t="s">
        <v>806</v>
      </c>
      <c r="B70" s="1" t="s">
        <v>807</v>
      </c>
      <c r="C70" s="1" t="s">
        <v>1011</v>
      </c>
      <c r="D70" s="1">
        <v>0.0</v>
      </c>
      <c r="E70" s="1">
        <v>1.0</v>
      </c>
      <c r="F70" s="1">
        <v>2.0</v>
      </c>
      <c r="G70" s="1" t="s">
        <v>417</v>
      </c>
      <c r="H70" s="1" t="s">
        <v>3</v>
      </c>
    </row>
    <row r="71">
      <c r="A71" s="1" t="s">
        <v>806</v>
      </c>
      <c r="B71" s="1" t="s">
        <v>807</v>
      </c>
      <c r="C71" s="1" t="s">
        <v>1012</v>
      </c>
      <c r="D71" s="1" t="s">
        <v>835</v>
      </c>
      <c r="E71" s="1" t="s">
        <v>836</v>
      </c>
      <c r="F71" s="1" t="s">
        <v>417</v>
      </c>
      <c r="G71" s="1" t="s">
        <v>829</v>
      </c>
      <c r="H71" s="1" t="s">
        <v>6</v>
      </c>
    </row>
    <row r="72">
      <c r="A72" s="1" t="s">
        <v>806</v>
      </c>
      <c r="B72" s="1" t="s">
        <v>807</v>
      </c>
      <c r="C72" s="1" t="s">
        <v>1013</v>
      </c>
      <c r="D72" s="1" t="s">
        <v>1014</v>
      </c>
      <c r="E72" s="1" t="s">
        <v>1015</v>
      </c>
      <c r="F72" s="1" t="s">
        <v>1016</v>
      </c>
      <c r="G72" s="1" t="s">
        <v>22</v>
      </c>
      <c r="H72" s="1" t="s">
        <v>3</v>
      </c>
    </row>
    <row r="73">
      <c r="A73" s="1" t="s">
        <v>806</v>
      </c>
      <c r="B73" s="1" t="s">
        <v>807</v>
      </c>
      <c r="C73" s="1" t="s">
        <v>1017</v>
      </c>
      <c r="D73" s="1" t="s">
        <v>1018</v>
      </c>
      <c r="E73" s="1" t="s">
        <v>1019</v>
      </c>
      <c r="F73" s="1" t="s">
        <v>1020</v>
      </c>
      <c r="G73" s="1" t="s">
        <v>1021</v>
      </c>
      <c r="H73" s="1" t="s">
        <v>3</v>
      </c>
    </row>
    <row r="74">
      <c r="A74" s="1" t="s">
        <v>806</v>
      </c>
      <c r="B74" s="1" t="s">
        <v>807</v>
      </c>
      <c r="C74" s="1" t="s">
        <v>1022</v>
      </c>
      <c r="D74" s="1" t="s">
        <v>1023</v>
      </c>
      <c r="E74" s="1" t="s">
        <v>1024</v>
      </c>
      <c r="F74" s="1" t="s">
        <v>1025</v>
      </c>
      <c r="G74" s="1" t="s">
        <v>1026</v>
      </c>
      <c r="H74" s="1" t="s">
        <v>3</v>
      </c>
    </row>
    <row r="75">
      <c r="A75" s="1" t="s">
        <v>806</v>
      </c>
      <c r="B75" s="1" t="s">
        <v>807</v>
      </c>
      <c r="C75" s="1" t="s">
        <v>1027</v>
      </c>
      <c r="D75" s="1" t="s">
        <v>1028</v>
      </c>
      <c r="E75" s="1" t="s">
        <v>1029</v>
      </c>
      <c r="F75" s="1" t="s">
        <v>1030</v>
      </c>
      <c r="G75" s="1" t="s">
        <v>1031</v>
      </c>
      <c r="H75" s="1" t="s">
        <v>3</v>
      </c>
    </row>
    <row r="76">
      <c r="A76" s="1" t="s">
        <v>806</v>
      </c>
      <c r="B76" s="1" t="s">
        <v>807</v>
      </c>
      <c r="C76" s="1" t="s">
        <v>1032</v>
      </c>
      <c r="D76" s="1" t="s">
        <v>27</v>
      </c>
      <c r="E76" s="1" t="s">
        <v>28</v>
      </c>
      <c r="F76" s="1" t="s">
        <v>320</v>
      </c>
      <c r="G76" s="1" t="s">
        <v>1033</v>
      </c>
      <c r="H76" s="1" t="s">
        <v>3</v>
      </c>
    </row>
    <row r="77">
      <c r="A77" s="1" t="s">
        <v>806</v>
      </c>
      <c r="B77" s="1" t="s">
        <v>807</v>
      </c>
      <c r="C77" s="1" t="s">
        <v>1034</v>
      </c>
      <c r="D77" s="1" t="s">
        <v>856</v>
      </c>
      <c r="E77" s="1" t="s">
        <v>1035</v>
      </c>
      <c r="F77" s="1" t="s">
        <v>1036</v>
      </c>
      <c r="G77" s="1" t="s">
        <v>1037</v>
      </c>
      <c r="H77" s="1" t="s">
        <v>6</v>
      </c>
    </row>
    <row r="78">
      <c r="A78" s="1" t="s">
        <v>806</v>
      </c>
      <c r="B78" s="1" t="s">
        <v>807</v>
      </c>
      <c r="C78" s="1" t="s">
        <v>1038</v>
      </c>
      <c r="D78" s="1" t="s">
        <v>1039</v>
      </c>
      <c r="E78" s="1" t="s">
        <v>1040</v>
      </c>
      <c r="F78" s="1" t="s">
        <v>1041</v>
      </c>
      <c r="G78" s="1" t="s">
        <v>1042</v>
      </c>
      <c r="H78" s="1" t="s">
        <v>3</v>
      </c>
    </row>
    <row r="79">
      <c r="A79" s="1" t="s">
        <v>806</v>
      </c>
      <c r="B79" s="1" t="s">
        <v>807</v>
      </c>
      <c r="C79" s="1" t="s">
        <v>1043</v>
      </c>
      <c r="D79" s="2">
        <v>46027.0</v>
      </c>
      <c r="E79" s="1" t="s">
        <v>1044</v>
      </c>
      <c r="F79" s="2">
        <v>46143.0</v>
      </c>
      <c r="G79" s="1">
        <v>5.0</v>
      </c>
      <c r="H79" s="1" t="s">
        <v>3</v>
      </c>
    </row>
    <row r="80">
      <c r="A80" s="1" t="s">
        <v>806</v>
      </c>
      <c r="B80" s="1" t="s">
        <v>807</v>
      </c>
      <c r="C80" s="1" t="s">
        <v>1045</v>
      </c>
      <c r="D80" s="1" t="s">
        <v>348</v>
      </c>
      <c r="E80" s="1" t="s">
        <v>1046</v>
      </c>
      <c r="F80" s="1" t="s">
        <v>1047</v>
      </c>
      <c r="G80" s="1" t="s">
        <v>349</v>
      </c>
      <c r="H80" s="1" t="s">
        <v>3</v>
      </c>
    </row>
    <row r="81">
      <c r="A81" s="1" t="s">
        <v>806</v>
      </c>
      <c r="B81" s="1" t="s">
        <v>807</v>
      </c>
      <c r="C81" s="1" t="s">
        <v>1048</v>
      </c>
      <c r="D81" s="1">
        <v>1.0</v>
      </c>
      <c r="E81" s="1">
        <v>2.0</v>
      </c>
      <c r="F81" s="1">
        <v>3.0</v>
      </c>
      <c r="G81" s="1">
        <v>0.0</v>
      </c>
      <c r="H81" s="1" t="s">
        <v>3</v>
      </c>
    </row>
    <row r="82">
      <c r="A82" s="1" t="s">
        <v>806</v>
      </c>
      <c r="B82" s="1" t="s">
        <v>807</v>
      </c>
      <c r="C82" s="1" t="s">
        <v>1049</v>
      </c>
      <c r="D82" s="1" t="s">
        <v>1050</v>
      </c>
      <c r="E82" s="1" t="s">
        <v>961</v>
      </c>
      <c r="F82" s="1" t="s">
        <v>1051</v>
      </c>
      <c r="G82" s="1" t="s">
        <v>1052</v>
      </c>
      <c r="H82" s="1" t="s">
        <v>6</v>
      </c>
    </row>
    <row r="83">
      <c r="A83" s="1" t="s">
        <v>806</v>
      </c>
      <c r="B83" s="1" t="s">
        <v>807</v>
      </c>
      <c r="C83" s="1" t="s">
        <v>1053</v>
      </c>
      <c r="D83" s="1">
        <v>1.0</v>
      </c>
      <c r="E83" s="1">
        <v>2.0</v>
      </c>
      <c r="F83" s="2">
        <v>46054.0</v>
      </c>
      <c r="G83" s="2">
        <v>46082.0</v>
      </c>
      <c r="H83" s="1" t="s">
        <v>3</v>
      </c>
    </row>
    <row r="84">
      <c r="A84" s="1" t="s">
        <v>806</v>
      </c>
      <c r="B84" s="1" t="s">
        <v>807</v>
      </c>
      <c r="C84" s="1" t="s">
        <v>1054</v>
      </c>
      <c r="D84" s="1">
        <v>10.0</v>
      </c>
      <c r="E84" s="1">
        <v>5.0</v>
      </c>
      <c r="F84" s="1">
        <v>2.0</v>
      </c>
      <c r="G84" s="1">
        <v>3.0</v>
      </c>
      <c r="H84" s="1" t="s">
        <v>3</v>
      </c>
    </row>
    <row r="85">
      <c r="A85" s="1" t="s">
        <v>806</v>
      </c>
      <c r="B85" s="1" t="s">
        <v>807</v>
      </c>
      <c r="C85" s="1" t="s">
        <v>1055</v>
      </c>
      <c r="D85" s="1" t="s">
        <v>835</v>
      </c>
      <c r="E85" s="1" t="s">
        <v>881</v>
      </c>
      <c r="F85" s="1" t="s">
        <v>417</v>
      </c>
      <c r="G85" s="1" t="s">
        <v>836</v>
      </c>
      <c r="H85" s="1" t="s">
        <v>3</v>
      </c>
    </row>
    <row r="86">
      <c r="A86" s="1" t="s">
        <v>806</v>
      </c>
      <c r="B86" s="1" t="s">
        <v>807</v>
      </c>
      <c r="C86" s="1" t="s">
        <v>1056</v>
      </c>
      <c r="D86" s="4">
        <v>46152.0</v>
      </c>
      <c r="E86" s="4">
        <v>46211.0</v>
      </c>
      <c r="F86" s="4">
        <v>46182.0</v>
      </c>
      <c r="G86" s="4">
        <v>46093.0</v>
      </c>
      <c r="H86" s="1" t="s">
        <v>3</v>
      </c>
    </row>
    <row r="87">
      <c r="A87" s="1" t="s">
        <v>806</v>
      </c>
      <c r="B87" s="1" t="s">
        <v>807</v>
      </c>
      <c r="C87" s="1" t="s">
        <v>1057</v>
      </c>
      <c r="D87" s="1" t="s">
        <v>1058</v>
      </c>
      <c r="E87" s="1" t="s">
        <v>1059</v>
      </c>
      <c r="F87" s="1" t="s">
        <v>1060</v>
      </c>
      <c r="G87" s="1" t="s">
        <v>1061</v>
      </c>
      <c r="H87" s="1" t="s">
        <v>3</v>
      </c>
    </row>
    <row r="88">
      <c r="A88" s="1" t="s">
        <v>806</v>
      </c>
      <c r="B88" s="1" t="s">
        <v>807</v>
      </c>
      <c r="C88" s="1" t="s">
        <v>1062</v>
      </c>
      <c r="D88" s="1" t="s">
        <v>1063</v>
      </c>
      <c r="E88" s="1" t="s">
        <v>1064</v>
      </c>
      <c r="F88" s="1" t="s">
        <v>1065</v>
      </c>
      <c r="G88" s="1" t="s">
        <v>1066</v>
      </c>
      <c r="H88" s="1" t="s">
        <v>3</v>
      </c>
    </row>
    <row r="89">
      <c r="A89" s="1" t="s">
        <v>806</v>
      </c>
      <c r="B89" s="1" t="s">
        <v>807</v>
      </c>
      <c r="C89" s="1" t="s">
        <v>1067</v>
      </c>
      <c r="D89" s="1" t="s">
        <v>989</v>
      </c>
      <c r="E89" s="1" t="s">
        <v>847</v>
      </c>
      <c r="F89" s="1" t="s">
        <v>1068</v>
      </c>
      <c r="G89" s="1" t="s">
        <v>525</v>
      </c>
      <c r="H89" s="1" t="s">
        <v>3</v>
      </c>
    </row>
    <row r="90">
      <c r="A90" s="1" t="s">
        <v>806</v>
      </c>
      <c r="B90" s="1" t="s">
        <v>807</v>
      </c>
      <c r="C90" s="1" t="s">
        <v>1069</v>
      </c>
      <c r="D90" s="1" t="s">
        <v>962</v>
      </c>
      <c r="E90" s="1" t="s">
        <v>1070</v>
      </c>
      <c r="F90" s="1" t="s">
        <v>1071</v>
      </c>
      <c r="G90" s="1" t="s">
        <v>961</v>
      </c>
      <c r="H90" s="1" t="s">
        <v>3</v>
      </c>
    </row>
    <row r="91">
      <c r="A91" s="1" t="s">
        <v>806</v>
      </c>
      <c r="B91" s="1" t="s">
        <v>807</v>
      </c>
      <c r="C91" s="1" t="s">
        <v>1072</v>
      </c>
      <c r="D91" s="1" t="s">
        <v>1070</v>
      </c>
      <c r="E91" s="1" t="s">
        <v>962</v>
      </c>
      <c r="F91" s="1" t="s">
        <v>961</v>
      </c>
      <c r="G91" s="1" t="s">
        <v>1071</v>
      </c>
      <c r="H91" s="1" t="s">
        <v>3</v>
      </c>
    </row>
    <row r="92">
      <c r="A92" s="1" t="s">
        <v>806</v>
      </c>
      <c r="B92" s="1" t="s">
        <v>807</v>
      </c>
      <c r="C92" s="1" t="s">
        <v>1073</v>
      </c>
      <c r="D92" s="4">
        <v>46025.0</v>
      </c>
      <c r="E92" s="4">
        <v>46082.0</v>
      </c>
      <c r="F92" s="4">
        <v>46057.0</v>
      </c>
      <c r="G92" s="4">
        <v>46114.0</v>
      </c>
      <c r="H92" s="1" t="s">
        <v>3</v>
      </c>
    </row>
    <row r="93">
      <c r="A93" s="1" t="s">
        <v>806</v>
      </c>
      <c r="B93" s="1" t="s">
        <v>807</v>
      </c>
      <c r="C93" s="1" t="s">
        <v>1074</v>
      </c>
      <c r="D93" s="1" t="s">
        <v>1075</v>
      </c>
      <c r="E93" s="1" t="s">
        <v>1076</v>
      </c>
      <c r="F93" s="1" t="s">
        <v>1077</v>
      </c>
      <c r="G93" s="1" t="s">
        <v>1078</v>
      </c>
      <c r="H93" s="1" t="s">
        <v>3</v>
      </c>
    </row>
    <row r="94">
      <c r="A94" s="1" t="s">
        <v>806</v>
      </c>
      <c r="B94" s="1" t="s">
        <v>807</v>
      </c>
      <c r="C94" s="1" t="s">
        <v>1079</v>
      </c>
      <c r="D94" s="1" t="s">
        <v>1080</v>
      </c>
      <c r="E94" s="1" t="s">
        <v>1081</v>
      </c>
      <c r="F94" s="1" t="s">
        <v>1058</v>
      </c>
      <c r="G94" s="1" t="s">
        <v>1082</v>
      </c>
      <c r="H94" s="1" t="s">
        <v>3</v>
      </c>
    </row>
    <row r="95">
      <c r="A95" s="1" t="s">
        <v>806</v>
      </c>
      <c r="B95" s="1" t="s">
        <v>807</v>
      </c>
      <c r="C95" s="1" t="s">
        <v>1083</v>
      </c>
      <c r="D95" s="1" t="s">
        <v>1084</v>
      </c>
      <c r="E95" s="1" t="s">
        <v>883</v>
      </c>
      <c r="F95" s="1" t="s">
        <v>884</v>
      </c>
      <c r="G95" s="1" t="s">
        <v>885</v>
      </c>
      <c r="H95" s="1" t="s">
        <v>3</v>
      </c>
    </row>
    <row r="96">
      <c r="A96" s="1" t="s">
        <v>806</v>
      </c>
      <c r="B96" s="1" t="s">
        <v>807</v>
      </c>
      <c r="C96" s="1" t="s">
        <v>1085</v>
      </c>
      <c r="D96" s="1" t="s">
        <v>417</v>
      </c>
      <c r="E96" s="1" t="s">
        <v>835</v>
      </c>
      <c r="F96" s="1" t="s">
        <v>837</v>
      </c>
      <c r="G96" s="1" t="s">
        <v>836</v>
      </c>
      <c r="H96" s="1" t="s">
        <v>3</v>
      </c>
    </row>
    <row r="97">
      <c r="A97" s="1" t="s">
        <v>806</v>
      </c>
      <c r="B97" s="1" t="s">
        <v>807</v>
      </c>
      <c r="C97" s="1" t="s">
        <v>1086</v>
      </c>
      <c r="D97" s="1">
        <v>2.0</v>
      </c>
      <c r="E97" s="1">
        <v>1.0</v>
      </c>
      <c r="F97" s="1">
        <v>3.0</v>
      </c>
      <c r="G97" s="2">
        <v>46054.0</v>
      </c>
      <c r="H97" s="1" t="s">
        <v>3</v>
      </c>
    </row>
    <row r="98">
      <c r="A98" s="1" t="s">
        <v>806</v>
      </c>
      <c r="B98" s="1" t="s">
        <v>807</v>
      </c>
      <c r="C98" s="1" t="s">
        <v>1087</v>
      </c>
      <c r="D98" s="1" t="s">
        <v>1088</v>
      </c>
      <c r="E98" s="1" t="s">
        <v>1089</v>
      </c>
      <c r="F98" s="1" t="s">
        <v>1090</v>
      </c>
      <c r="G98" s="1" t="s">
        <v>837</v>
      </c>
      <c r="H98" s="1" t="s">
        <v>3</v>
      </c>
    </row>
    <row r="99">
      <c r="A99" s="1" t="s">
        <v>806</v>
      </c>
      <c r="B99" s="1" t="s">
        <v>807</v>
      </c>
      <c r="C99" s="1" t="s">
        <v>1091</v>
      </c>
      <c r="D99" s="1">
        <v>0.0</v>
      </c>
      <c r="E99" s="1">
        <v>1.0</v>
      </c>
      <c r="F99" s="1">
        <v>2.0</v>
      </c>
      <c r="G99" s="1">
        <v>-1.0</v>
      </c>
      <c r="H99" s="1" t="s">
        <v>3</v>
      </c>
    </row>
    <row r="100">
      <c r="A100" s="1" t="s">
        <v>806</v>
      </c>
      <c r="B100" s="1" t="s">
        <v>807</v>
      </c>
      <c r="C100" s="1" t="s">
        <v>1092</v>
      </c>
      <c r="D100" s="1" t="s">
        <v>1093</v>
      </c>
      <c r="E100" s="1" t="s">
        <v>888</v>
      </c>
      <c r="F100" s="1" t="s">
        <v>890</v>
      </c>
      <c r="G100" s="1" t="s">
        <v>1094</v>
      </c>
      <c r="H100" s="1" t="s">
        <v>3</v>
      </c>
    </row>
    <row r="101">
      <c r="A101" s="1" t="s">
        <v>806</v>
      </c>
      <c r="B101" s="1" t="s">
        <v>807</v>
      </c>
      <c r="C101" s="1" t="s">
        <v>1095</v>
      </c>
      <c r="D101" s="2">
        <v>46068.0</v>
      </c>
      <c r="E101" s="1">
        <v>7.5</v>
      </c>
      <c r="F101" s="1" t="s">
        <v>1096</v>
      </c>
      <c r="G101" s="1">
        <v>5.0</v>
      </c>
      <c r="H101" s="1" t="s">
        <v>5</v>
      </c>
    </row>
    <row r="102">
      <c r="A102" s="1" t="s">
        <v>806</v>
      </c>
      <c r="B102" s="1" t="s">
        <v>807</v>
      </c>
      <c r="C102" s="1" t="s">
        <v>1097</v>
      </c>
      <c r="D102" s="1">
        <v>1.0</v>
      </c>
      <c r="E102" s="1">
        <v>2.0</v>
      </c>
      <c r="F102" s="1">
        <v>3.0</v>
      </c>
      <c r="G102" s="1" t="s">
        <v>1098</v>
      </c>
      <c r="H102" s="1" t="s">
        <v>6</v>
      </c>
    </row>
    <row r="103">
      <c r="A103" s="1" t="s">
        <v>806</v>
      </c>
      <c r="B103" s="1" t="s">
        <v>807</v>
      </c>
      <c r="C103" s="1" t="s">
        <v>1099</v>
      </c>
      <c r="D103" s="1" t="s">
        <v>1100</v>
      </c>
      <c r="E103" s="1" t="s">
        <v>1094</v>
      </c>
      <c r="F103" s="1" t="s">
        <v>829</v>
      </c>
      <c r="G103" s="1" t="s">
        <v>22</v>
      </c>
      <c r="H103" s="1" t="s">
        <v>5</v>
      </c>
    </row>
    <row r="104">
      <c r="A104" s="1" t="s">
        <v>806</v>
      </c>
      <c r="B104" s="1" t="s">
        <v>807</v>
      </c>
      <c r="C104" s="1" t="s">
        <v>1101</v>
      </c>
      <c r="D104" s="1" t="s">
        <v>1102</v>
      </c>
      <c r="E104" s="1" t="s">
        <v>829</v>
      </c>
      <c r="F104" s="1" t="s">
        <v>1103</v>
      </c>
      <c r="G104" s="1" t="s">
        <v>22</v>
      </c>
      <c r="H104" s="1" t="s">
        <v>3</v>
      </c>
    </row>
    <row r="105">
      <c r="A105" s="1" t="s">
        <v>806</v>
      </c>
      <c r="B105" s="1" t="s">
        <v>807</v>
      </c>
      <c r="C105" s="1" t="s">
        <v>1104</v>
      </c>
      <c r="D105" s="1" t="s">
        <v>1105</v>
      </c>
      <c r="E105" s="1" t="s">
        <v>1106</v>
      </c>
      <c r="F105" s="1" t="s">
        <v>851</v>
      </c>
      <c r="G105" s="1" t="s">
        <v>22</v>
      </c>
      <c r="H105" s="1" t="s">
        <v>3</v>
      </c>
    </row>
    <row r="106">
      <c r="A106" s="1" t="s">
        <v>806</v>
      </c>
      <c r="B106" s="1" t="s">
        <v>807</v>
      </c>
      <c r="C106" s="1" t="s">
        <v>1107</v>
      </c>
      <c r="D106" s="1" t="s">
        <v>1108</v>
      </c>
      <c r="E106" s="1" t="s">
        <v>1109</v>
      </c>
      <c r="F106" s="1" t="s">
        <v>1110</v>
      </c>
      <c r="G106" s="1" t="s">
        <v>22</v>
      </c>
      <c r="H106" s="1" t="s">
        <v>5</v>
      </c>
    </row>
    <row r="107">
      <c r="A107" s="1" t="s">
        <v>806</v>
      </c>
      <c r="B107" s="1" t="s">
        <v>807</v>
      </c>
      <c r="C107" s="1" t="s">
        <v>1111</v>
      </c>
      <c r="D107" s="1">
        <v>5.0</v>
      </c>
      <c r="E107" s="1">
        <v>10.0</v>
      </c>
      <c r="F107" s="1">
        <v>6.0</v>
      </c>
      <c r="G107" s="1">
        <v>2.0</v>
      </c>
      <c r="H107" s="1" t="s">
        <v>4</v>
      </c>
    </row>
    <row r="108">
      <c r="A108" s="1" t="s">
        <v>806</v>
      </c>
      <c r="B108" s="1" t="s">
        <v>807</v>
      </c>
      <c r="C108" s="1" t="s">
        <v>1112</v>
      </c>
      <c r="D108" s="1">
        <v>0.0</v>
      </c>
      <c r="E108" s="1">
        <v>2.0</v>
      </c>
      <c r="F108" s="1">
        <v>1.0</v>
      </c>
      <c r="G108" s="1" t="s">
        <v>1113</v>
      </c>
      <c r="H108" s="1" t="s">
        <v>5</v>
      </c>
    </row>
    <row r="109">
      <c r="A109" s="1" t="s">
        <v>806</v>
      </c>
      <c r="B109" s="1" t="s">
        <v>807</v>
      </c>
      <c r="C109" s="1" t="s">
        <v>1114</v>
      </c>
      <c r="D109" s="1" t="s">
        <v>850</v>
      </c>
      <c r="E109" s="1" t="s">
        <v>1100</v>
      </c>
      <c r="F109" s="1" t="s">
        <v>1115</v>
      </c>
      <c r="G109" s="1" t="s">
        <v>837</v>
      </c>
      <c r="H109" s="1" t="s">
        <v>3</v>
      </c>
    </row>
    <row r="110">
      <c r="A110" s="1" t="s">
        <v>806</v>
      </c>
      <c r="B110" s="1" t="s">
        <v>807</v>
      </c>
      <c r="C110" s="1" t="s">
        <v>1116</v>
      </c>
      <c r="D110" s="1">
        <v>2.0</v>
      </c>
      <c r="E110" s="1">
        <v>3.0</v>
      </c>
      <c r="F110" s="1">
        <v>4.0</v>
      </c>
      <c r="G110" s="1" t="s">
        <v>1113</v>
      </c>
      <c r="H110" s="1" t="s">
        <v>5</v>
      </c>
    </row>
    <row r="111">
      <c r="A111" s="1" t="s">
        <v>806</v>
      </c>
      <c r="B111" s="1" t="s">
        <v>807</v>
      </c>
      <c r="C111" s="1" t="s">
        <v>1117</v>
      </c>
      <c r="D111" s="1" t="s">
        <v>1118</v>
      </c>
      <c r="E111" s="1" t="s">
        <v>1119</v>
      </c>
      <c r="F111" s="1" t="s">
        <v>1120</v>
      </c>
      <c r="G111" s="1" t="s">
        <v>1121</v>
      </c>
      <c r="H111" s="1" t="s">
        <v>5</v>
      </c>
    </row>
    <row r="112">
      <c r="A112" s="1" t="s">
        <v>806</v>
      </c>
      <c r="B112" s="1" t="s">
        <v>807</v>
      </c>
      <c r="C112" s="1" t="s">
        <v>1122</v>
      </c>
      <c r="D112" s="1">
        <v>1.0</v>
      </c>
      <c r="E112" s="1">
        <v>2.0</v>
      </c>
      <c r="F112" s="1" t="s">
        <v>474</v>
      </c>
      <c r="G112" s="1" t="s">
        <v>22</v>
      </c>
      <c r="H112" s="1" t="s">
        <v>5</v>
      </c>
    </row>
    <row r="113">
      <c r="A113" s="1" t="s">
        <v>806</v>
      </c>
      <c r="B113" s="1" t="s">
        <v>807</v>
      </c>
      <c r="C113" s="1" t="s">
        <v>1123</v>
      </c>
      <c r="D113" s="1" t="s">
        <v>1100</v>
      </c>
      <c r="E113" s="1" t="s">
        <v>1103</v>
      </c>
      <c r="F113" s="1" t="s">
        <v>829</v>
      </c>
      <c r="G113" s="1" t="s">
        <v>22</v>
      </c>
      <c r="H113" s="1" t="s">
        <v>5</v>
      </c>
    </row>
    <row r="114">
      <c r="A114" s="1" t="s">
        <v>806</v>
      </c>
      <c r="B114" s="1" t="s">
        <v>807</v>
      </c>
      <c r="C114" s="1" t="s">
        <v>1124</v>
      </c>
      <c r="D114" s="1" t="s">
        <v>939</v>
      </c>
      <c r="E114" s="1" t="s">
        <v>1125</v>
      </c>
      <c r="F114" s="1" t="s">
        <v>1126</v>
      </c>
      <c r="G114" s="1" t="s">
        <v>1127</v>
      </c>
      <c r="H114" s="1" t="s">
        <v>3</v>
      </c>
    </row>
    <row r="115">
      <c r="A115" s="1" t="s">
        <v>806</v>
      </c>
      <c r="B115" s="1" t="s">
        <v>807</v>
      </c>
      <c r="C115" s="1" t="s">
        <v>1128</v>
      </c>
      <c r="D115" s="1" t="s">
        <v>1129</v>
      </c>
      <c r="E115" s="1" t="s">
        <v>1130</v>
      </c>
      <c r="F115" s="1" t="s">
        <v>1131</v>
      </c>
      <c r="G115" s="1" t="s">
        <v>1132</v>
      </c>
      <c r="H115" s="1" t="s">
        <v>6</v>
      </c>
    </row>
    <row r="116">
      <c r="A116" s="1" t="s">
        <v>806</v>
      </c>
      <c r="B116" s="1" t="s">
        <v>807</v>
      </c>
      <c r="C116" s="1" t="s">
        <v>1133</v>
      </c>
      <c r="D116" s="1">
        <v>-2.0</v>
      </c>
      <c r="E116" s="1">
        <v>-8.0</v>
      </c>
      <c r="F116" s="1">
        <v>8.0</v>
      </c>
      <c r="G116" s="1">
        <v>2.0</v>
      </c>
      <c r="H116" s="1" t="s">
        <v>4</v>
      </c>
    </row>
    <row r="117">
      <c r="A117" s="1" t="s">
        <v>806</v>
      </c>
      <c r="B117" s="1" t="s">
        <v>807</v>
      </c>
      <c r="C117" s="1" t="s">
        <v>1134</v>
      </c>
      <c r="D117" s="1" t="s">
        <v>1135</v>
      </c>
      <c r="E117" s="1" t="s">
        <v>1136</v>
      </c>
      <c r="F117" s="1" t="s">
        <v>889</v>
      </c>
      <c r="G117" s="1" t="s">
        <v>1113</v>
      </c>
      <c r="H117" s="1" t="s">
        <v>3</v>
      </c>
    </row>
    <row r="118">
      <c r="A118" s="1" t="s">
        <v>806</v>
      </c>
      <c r="B118" s="1" t="s">
        <v>807</v>
      </c>
      <c r="C118" s="1" t="s">
        <v>1137</v>
      </c>
      <c r="D118" s="1" t="s">
        <v>1138</v>
      </c>
      <c r="E118" s="1" t="s">
        <v>1139</v>
      </c>
      <c r="F118" s="1" t="s">
        <v>1140</v>
      </c>
      <c r="G118" s="1" t="s">
        <v>1141</v>
      </c>
      <c r="H118" s="1" t="s">
        <v>4</v>
      </c>
    </row>
    <row r="119">
      <c r="A119" s="1" t="s">
        <v>806</v>
      </c>
      <c r="B119" s="1" t="s">
        <v>807</v>
      </c>
      <c r="C119" s="1" t="s">
        <v>1142</v>
      </c>
      <c r="D119" s="1" t="s">
        <v>1143</v>
      </c>
      <c r="E119" s="1" t="s">
        <v>1144</v>
      </c>
      <c r="F119" s="1" t="s">
        <v>1145</v>
      </c>
      <c r="G119" s="1" t="s">
        <v>1146</v>
      </c>
      <c r="H119" s="1" t="s">
        <v>5</v>
      </c>
    </row>
    <row r="120">
      <c r="A120" s="1" t="s">
        <v>806</v>
      </c>
      <c r="B120" s="1" t="s">
        <v>807</v>
      </c>
      <c r="C120" s="1" t="s">
        <v>1147</v>
      </c>
      <c r="D120" s="1">
        <v>1.0</v>
      </c>
      <c r="E120" s="1">
        <v>2.0</v>
      </c>
      <c r="F120" s="1">
        <v>4.0</v>
      </c>
      <c r="G120" s="1">
        <v>-2.0</v>
      </c>
      <c r="H120" s="1" t="s">
        <v>4</v>
      </c>
    </row>
    <row r="121">
      <c r="A121" s="1" t="s">
        <v>806</v>
      </c>
      <c r="B121" s="1" t="s">
        <v>807</v>
      </c>
      <c r="C121" s="1" t="s">
        <v>1148</v>
      </c>
      <c r="D121" s="1" t="s">
        <v>835</v>
      </c>
      <c r="E121" s="1" t="s">
        <v>836</v>
      </c>
      <c r="F121" s="1" t="s">
        <v>1149</v>
      </c>
      <c r="G121" s="1" t="s">
        <v>474</v>
      </c>
      <c r="H121" s="1" t="s">
        <v>6</v>
      </c>
    </row>
    <row r="122">
      <c r="A122" s="1" t="s">
        <v>806</v>
      </c>
      <c r="B122" s="1" t="s">
        <v>807</v>
      </c>
      <c r="C122" s="1" t="s">
        <v>1150</v>
      </c>
      <c r="D122" s="1" t="s">
        <v>1106</v>
      </c>
      <c r="E122" s="1" t="s">
        <v>851</v>
      </c>
      <c r="F122" s="1" t="s">
        <v>1105</v>
      </c>
      <c r="G122" s="1" t="s">
        <v>1113</v>
      </c>
      <c r="H122" s="1" t="s">
        <v>5</v>
      </c>
    </row>
    <row r="123">
      <c r="A123" s="1" t="s">
        <v>806</v>
      </c>
      <c r="B123" s="1" t="s">
        <v>807</v>
      </c>
      <c r="C123" s="1" t="s">
        <v>1151</v>
      </c>
      <c r="D123" s="1" t="s">
        <v>1152</v>
      </c>
      <c r="E123" s="1" t="s">
        <v>1145</v>
      </c>
      <c r="F123" s="1" t="s">
        <v>1153</v>
      </c>
      <c r="G123" s="1" t="s">
        <v>1154</v>
      </c>
      <c r="H123" s="1" t="s">
        <v>6</v>
      </c>
    </row>
    <row r="124">
      <c r="A124" s="1" t="s">
        <v>806</v>
      </c>
      <c r="B124" s="1" t="s">
        <v>807</v>
      </c>
      <c r="C124" s="1" t="s">
        <v>1155</v>
      </c>
      <c r="D124" s="1" t="s">
        <v>877</v>
      </c>
      <c r="E124" s="1" t="s">
        <v>876</v>
      </c>
      <c r="F124" s="1" t="s">
        <v>1118</v>
      </c>
      <c r="G124" s="1" t="s">
        <v>1119</v>
      </c>
      <c r="H124" s="1" t="s">
        <v>4</v>
      </c>
    </row>
    <row r="125">
      <c r="A125" s="1" t="s">
        <v>806</v>
      </c>
      <c r="B125" s="1" t="s">
        <v>807</v>
      </c>
      <c r="C125" s="1" t="s">
        <v>1156</v>
      </c>
      <c r="D125" s="1">
        <v>3.0</v>
      </c>
      <c r="E125" s="1">
        <v>4.0</v>
      </c>
      <c r="F125" s="1">
        <v>6.0</v>
      </c>
      <c r="G125" s="1">
        <v>-6.0</v>
      </c>
      <c r="H125" s="1" t="s">
        <v>5</v>
      </c>
    </row>
    <row r="126">
      <c r="A126" s="1" t="s">
        <v>806</v>
      </c>
      <c r="B126" s="1" t="s">
        <v>807</v>
      </c>
      <c r="C126" s="1" t="s">
        <v>1157</v>
      </c>
      <c r="D126" s="1" t="s">
        <v>1158</v>
      </c>
      <c r="E126" s="1" t="s">
        <v>1159</v>
      </c>
      <c r="F126" s="1" t="s">
        <v>1160</v>
      </c>
      <c r="G126" s="1" t="s">
        <v>1161</v>
      </c>
      <c r="H126" s="1" t="s">
        <v>3</v>
      </c>
    </row>
    <row r="127">
      <c r="A127" s="1" t="s">
        <v>806</v>
      </c>
      <c r="B127" s="1" t="s">
        <v>807</v>
      </c>
      <c r="C127" s="1" t="s">
        <v>1162</v>
      </c>
      <c r="D127" s="1">
        <v>2.0</v>
      </c>
      <c r="E127" s="1">
        <v>-2.0</v>
      </c>
      <c r="F127" s="2">
        <v>46054.0</v>
      </c>
      <c r="G127" s="1" t="s">
        <v>360</v>
      </c>
      <c r="H127" s="1" t="s">
        <v>3</v>
      </c>
    </row>
    <row r="128">
      <c r="A128" s="1" t="s">
        <v>806</v>
      </c>
      <c r="B128" s="1" t="s">
        <v>807</v>
      </c>
      <c r="C128" s="1" t="s">
        <v>1163</v>
      </c>
      <c r="D128" s="1" t="s">
        <v>1164</v>
      </c>
      <c r="E128" s="1" t="s">
        <v>1165</v>
      </c>
      <c r="F128" s="1" t="s">
        <v>1166</v>
      </c>
      <c r="G128" s="1" t="s">
        <v>1167</v>
      </c>
      <c r="H128" s="1" t="s">
        <v>4</v>
      </c>
    </row>
    <row r="129">
      <c r="A129" s="1" t="s">
        <v>806</v>
      </c>
      <c r="B129" s="1" t="s">
        <v>807</v>
      </c>
      <c r="C129" s="1" t="s">
        <v>1168</v>
      </c>
      <c r="D129" s="1" t="s">
        <v>1164</v>
      </c>
      <c r="E129" s="1" t="s">
        <v>1165</v>
      </c>
      <c r="F129" s="1" t="s">
        <v>1166</v>
      </c>
      <c r="G129" s="1" t="s">
        <v>1169</v>
      </c>
      <c r="H129" s="1" t="s">
        <v>3</v>
      </c>
    </row>
    <row r="130">
      <c r="A130" s="1" t="s">
        <v>806</v>
      </c>
      <c r="B130" s="1" t="s">
        <v>807</v>
      </c>
      <c r="C130" s="1" t="s">
        <v>1170</v>
      </c>
      <c r="D130" s="1" t="s">
        <v>1171</v>
      </c>
      <c r="E130" s="1" t="s">
        <v>390</v>
      </c>
      <c r="F130" s="1" t="s">
        <v>635</v>
      </c>
      <c r="G130" s="1" t="s">
        <v>392</v>
      </c>
      <c r="H130" s="1" t="s">
        <v>6</v>
      </c>
    </row>
    <row r="131">
      <c r="A131" s="1" t="s">
        <v>806</v>
      </c>
      <c r="B131" s="1" t="s">
        <v>807</v>
      </c>
      <c r="C131" s="1" t="s">
        <v>1172</v>
      </c>
      <c r="D131" s="1" t="s">
        <v>835</v>
      </c>
      <c r="E131" s="1" t="s">
        <v>836</v>
      </c>
      <c r="F131" s="1" t="s">
        <v>474</v>
      </c>
      <c r="G131" s="1" t="s">
        <v>1173</v>
      </c>
      <c r="H131" s="1" t="s">
        <v>6</v>
      </c>
    </row>
    <row r="132">
      <c r="A132" s="1" t="s">
        <v>806</v>
      </c>
      <c r="B132" s="1" t="s">
        <v>807</v>
      </c>
      <c r="C132" s="1" t="s">
        <v>1174</v>
      </c>
      <c r="D132" s="1" t="s">
        <v>1106</v>
      </c>
      <c r="E132" s="1" t="s">
        <v>1105</v>
      </c>
      <c r="F132" s="1" t="s">
        <v>99</v>
      </c>
      <c r="G132" s="1" t="s">
        <v>22</v>
      </c>
      <c r="H132" s="1" t="s">
        <v>3</v>
      </c>
    </row>
    <row r="133">
      <c r="A133" s="1" t="s">
        <v>806</v>
      </c>
      <c r="B133" s="1" t="s">
        <v>807</v>
      </c>
      <c r="C133" s="1" t="s">
        <v>1175</v>
      </c>
      <c r="D133" s="1" t="s">
        <v>835</v>
      </c>
      <c r="E133" s="1" t="s">
        <v>836</v>
      </c>
      <c r="F133" s="1" t="s">
        <v>417</v>
      </c>
      <c r="G133" s="1" t="s">
        <v>1173</v>
      </c>
      <c r="H133" s="1" t="s">
        <v>5</v>
      </c>
    </row>
    <row r="134">
      <c r="A134" s="1" t="s">
        <v>806</v>
      </c>
      <c r="B134" s="1" t="s">
        <v>807</v>
      </c>
      <c r="C134" s="1" t="s">
        <v>1176</v>
      </c>
      <c r="D134" s="1" t="s">
        <v>1177</v>
      </c>
      <c r="E134" s="1" t="s">
        <v>1178</v>
      </c>
      <c r="F134" s="1" t="s">
        <v>1179</v>
      </c>
      <c r="G134" s="1" t="s">
        <v>1180</v>
      </c>
      <c r="H134" s="1" t="s">
        <v>4</v>
      </c>
    </row>
    <row r="135">
      <c r="A135" s="1" t="s">
        <v>806</v>
      </c>
      <c r="B135" s="1" t="s">
        <v>807</v>
      </c>
      <c r="C135" s="1" t="s">
        <v>1181</v>
      </c>
      <c r="D135" s="1" t="s">
        <v>1182</v>
      </c>
      <c r="E135" s="1" t="s">
        <v>1183</v>
      </c>
      <c r="F135" s="1" t="s">
        <v>1184</v>
      </c>
      <c r="G135" s="1" t="s">
        <v>1185</v>
      </c>
      <c r="H135" s="1" t="s">
        <v>5</v>
      </c>
    </row>
    <row r="136">
      <c r="A136" s="1" t="s">
        <v>806</v>
      </c>
      <c r="B136" s="1" t="s">
        <v>807</v>
      </c>
      <c r="C136" s="1" t="s">
        <v>1186</v>
      </c>
      <c r="D136" s="1" t="s">
        <v>1187</v>
      </c>
      <c r="E136" s="1" t="s">
        <v>1188</v>
      </c>
      <c r="F136" s="1" t="s">
        <v>1189</v>
      </c>
      <c r="G136" s="1" t="s">
        <v>22</v>
      </c>
      <c r="H136" s="1" t="s">
        <v>4</v>
      </c>
    </row>
    <row r="137">
      <c r="A137" s="1" t="s">
        <v>806</v>
      </c>
      <c r="B137" s="1" t="s">
        <v>807</v>
      </c>
      <c r="C137" s="1" t="s">
        <v>1190</v>
      </c>
      <c r="D137" s="1" t="s">
        <v>1191</v>
      </c>
      <c r="E137" s="1" t="s">
        <v>1192</v>
      </c>
      <c r="F137" s="1" t="s">
        <v>811</v>
      </c>
      <c r="G137" s="1" t="s">
        <v>1193</v>
      </c>
      <c r="H137" s="1" t="s">
        <v>5</v>
      </c>
    </row>
    <row r="138">
      <c r="A138" s="1" t="s">
        <v>806</v>
      </c>
      <c r="B138" s="1" t="s">
        <v>807</v>
      </c>
      <c r="C138" s="1" t="s">
        <v>1194</v>
      </c>
      <c r="D138" s="2">
        <v>46054.0</v>
      </c>
      <c r="E138" s="2">
        <v>46056.0</v>
      </c>
      <c r="F138" s="1">
        <v>0.0</v>
      </c>
      <c r="G138" s="1" t="s">
        <v>22</v>
      </c>
      <c r="H138" s="1" t="s">
        <v>5</v>
      </c>
    </row>
    <row r="139">
      <c r="A139" s="1" t="s">
        <v>806</v>
      </c>
      <c r="B139" s="1" t="s">
        <v>807</v>
      </c>
      <c r="C139" s="1" t="s">
        <v>1195</v>
      </c>
      <c r="D139" s="1">
        <v>1.0</v>
      </c>
      <c r="E139" s="1">
        <v>2.0</v>
      </c>
      <c r="F139" s="1">
        <v>3.0</v>
      </c>
      <c r="G139" s="1">
        <v>4.0</v>
      </c>
      <c r="H139" s="1" t="s">
        <v>4</v>
      </c>
    </row>
    <row r="140">
      <c r="A140" s="1" t="s">
        <v>806</v>
      </c>
      <c r="B140" s="1" t="s">
        <v>807</v>
      </c>
      <c r="C140" s="1" t="s">
        <v>1196</v>
      </c>
      <c r="D140" s="1" t="s">
        <v>1197</v>
      </c>
      <c r="E140" s="1" t="s">
        <v>1198</v>
      </c>
      <c r="F140" s="1" t="s">
        <v>1199</v>
      </c>
      <c r="G140" s="1" t="s">
        <v>1200</v>
      </c>
      <c r="H140" s="1" t="s">
        <v>3</v>
      </c>
    </row>
    <row r="141">
      <c r="A141" s="1" t="s">
        <v>806</v>
      </c>
      <c r="B141" s="1" t="s">
        <v>807</v>
      </c>
      <c r="C141" s="1" t="s">
        <v>1201</v>
      </c>
      <c r="D141" s="1" t="s">
        <v>1121</v>
      </c>
      <c r="E141" s="1" t="s">
        <v>1202</v>
      </c>
      <c r="F141" s="1" t="s">
        <v>877</v>
      </c>
      <c r="G141" s="1" t="s">
        <v>1203</v>
      </c>
      <c r="H141" s="1" t="s">
        <v>6</v>
      </c>
    </row>
    <row r="142">
      <c r="A142" s="1" t="s">
        <v>806</v>
      </c>
      <c r="B142" s="1" t="s">
        <v>807</v>
      </c>
      <c r="C142" s="1" t="s">
        <v>1204</v>
      </c>
      <c r="D142" s="1">
        <v>2.0</v>
      </c>
      <c r="E142" s="1">
        <v>3.0</v>
      </c>
      <c r="F142" s="1">
        <v>4.0</v>
      </c>
      <c r="G142" s="1">
        <v>5.0</v>
      </c>
      <c r="H142" s="1" t="s">
        <v>3</v>
      </c>
    </row>
    <row r="143">
      <c r="A143" s="1" t="s">
        <v>806</v>
      </c>
      <c r="B143" s="1" t="s">
        <v>807</v>
      </c>
      <c r="C143" s="1" t="s">
        <v>1205</v>
      </c>
      <c r="D143" s="1" t="s">
        <v>1206</v>
      </c>
      <c r="E143" s="1" t="s">
        <v>1207</v>
      </c>
      <c r="F143" s="1" t="s">
        <v>1164</v>
      </c>
      <c r="G143" s="1" t="s">
        <v>22</v>
      </c>
      <c r="H143" s="1" t="s">
        <v>5</v>
      </c>
    </row>
    <row r="144">
      <c r="A144" s="1" t="s">
        <v>806</v>
      </c>
      <c r="B144" s="1" t="s">
        <v>807</v>
      </c>
      <c r="C144" s="1" t="s">
        <v>1208</v>
      </c>
      <c r="D144" s="1" t="s">
        <v>1209</v>
      </c>
      <c r="E144" s="1" t="s">
        <v>1003</v>
      </c>
      <c r="F144" s="1" t="s">
        <v>1050</v>
      </c>
      <c r="G144" s="1" t="s">
        <v>633</v>
      </c>
      <c r="H144" s="1" t="s">
        <v>6</v>
      </c>
    </row>
    <row r="145">
      <c r="A145" s="1" t="s">
        <v>806</v>
      </c>
      <c r="B145" s="1" t="s">
        <v>807</v>
      </c>
      <c r="C145" s="1" t="s">
        <v>1210</v>
      </c>
      <c r="D145" s="1" t="s">
        <v>829</v>
      </c>
      <c r="E145" s="1" t="s">
        <v>1100</v>
      </c>
      <c r="F145" s="1" t="s">
        <v>889</v>
      </c>
      <c r="G145" s="1" t="s">
        <v>22</v>
      </c>
      <c r="H145" s="1" t="s">
        <v>4</v>
      </c>
    </row>
    <row r="146">
      <c r="A146" s="1" t="s">
        <v>806</v>
      </c>
      <c r="B146" s="1" t="s">
        <v>807</v>
      </c>
      <c r="C146" s="1" t="s">
        <v>1211</v>
      </c>
      <c r="D146" s="1">
        <v>6.0</v>
      </c>
      <c r="E146" s="1">
        <v>-6.0</v>
      </c>
      <c r="F146" s="1">
        <v>5.0</v>
      </c>
      <c r="G146" s="1">
        <v>9.0</v>
      </c>
      <c r="H146" s="1" t="s">
        <v>3</v>
      </c>
    </row>
    <row r="147">
      <c r="A147" s="1" t="s">
        <v>806</v>
      </c>
      <c r="B147" s="1" t="s">
        <v>807</v>
      </c>
      <c r="C147" s="1" t="s">
        <v>1212</v>
      </c>
      <c r="D147" s="1" t="s">
        <v>356</v>
      </c>
      <c r="E147" s="1" t="s">
        <v>807</v>
      </c>
      <c r="F147" s="1" t="s">
        <v>943</v>
      </c>
      <c r="G147" s="1" t="s">
        <v>1213</v>
      </c>
      <c r="H147" s="1" t="s">
        <v>4</v>
      </c>
    </row>
    <row r="148">
      <c r="A148" s="1" t="s">
        <v>806</v>
      </c>
      <c r="B148" s="1" t="s">
        <v>807</v>
      </c>
      <c r="C148" s="1" t="s">
        <v>1214</v>
      </c>
      <c r="D148" s="1">
        <v>6.0</v>
      </c>
      <c r="E148" s="1">
        <v>3.0</v>
      </c>
      <c r="F148" s="1">
        <v>9.0</v>
      </c>
      <c r="G148" s="1">
        <v>5.0</v>
      </c>
      <c r="H148" s="1" t="s">
        <v>3</v>
      </c>
    </row>
    <row r="149">
      <c r="A149" s="1" t="s">
        <v>806</v>
      </c>
      <c r="B149" s="1" t="s">
        <v>807</v>
      </c>
      <c r="C149" s="1" t="s">
        <v>1215</v>
      </c>
      <c r="D149" s="1" t="s">
        <v>841</v>
      </c>
      <c r="E149" s="1" t="s">
        <v>1216</v>
      </c>
      <c r="F149" s="1" t="s">
        <v>1217</v>
      </c>
      <c r="G149" s="1" t="s">
        <v>1218</v>
      </c>
      <c r="H149" s="1" t="s">
        <v>4</v>
      </c>
    </row>
    <row r="150">
      <c r="A150" s="1" t="s">
        <v>806</v>
      </c>
      <c r="B150" s="1" t="s">
        <v>807</v>
      </c>
      <c r="C150" s="1" t="s">
        <v>1219</v>
      </c>
      <c r="D150" s="1" t="s">
        <v>1220</v>
      </c>
      <c r="E150" s="1" t="s">
        <v>1221</v>
      </c>
      <c r="F150" s="1" t="s">
        <v>1222</v>
      </c>
      <c r="G150" s="1" t="s">
        <v>22</v>
      </c>
      <c r="H150" s="1" t="s">
        <v>3</v>
      </c>
    </row>
    <row r="151">
      <c r="A151" s="1" t="s">
        <v>806</v>
      </c>
      <c r="B151" s="1" t="s">
        <v>807</v>
      </c>
      <c r="C151" s="1" t="s">
        <v>1223</v>
      </c>
      <c r="D151" s="1" t="s">
        <v>1224</v>
      </c>
      <c r="E151" s="1" t="s">
        <v>1225</v>
      </c>
      <c r="F151" s="1" t="s">
        <v>1226</v>
      </c>
      <c r="G151" s="1" t="s">
        <v>1227</v>
      </c>
      <c r="H151" s="1" t="s">
        <v>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943</v>
      </c>
      <c r="C2" s="1" t="s">
        <v>1228</v>
      </c>
      <c r="D2" s="1" t="s">
        <v>488</v>
      </c>
      <c r="E2" s="1">
        <v>-2.0</v>
      </c>
      <c r="F2" s="1">
        <v>2.0</v>
      </c>
      <c r="G2" s="1" t="s">
        <v>487</v>
      </c>
      <c r="H2" s="1" t="s">
        <v>6</v>
      </c>
      <c r="I2" s="5"/>
    </row>
    <row r="3">
      <c r="A3" s="1" t="s">
        <v>355</v>
      </c>
      <c r="B3" s="1" t="s">
        <v>943</v>
      </c>
      <c r="C3" s="1" t="s">
        <v>1229</v>
      </c>
      <c r="D3" s="2">
        <v>46054.0</v>
      </c>
      <c r="E3" s="1" t="s">
        <v>1230</v>
      </c>
      <c r="F3" s="1">
        <v>1.0</v>
      </c>
      <c r="G3" s="1">
        <v>2.0</v>
      </c>
      <c r="H3" s="1" t="s">
        <v>3</v>
      </c>
      <c r="I3" s="5"/>
    </row>
    <row r="4">
      <c r="A4" s="1" t="s">
        <v>355</v>
      </c>
      <c r="B4" s="1" t="s">
        <v>943</v>
      </c>
      <c r="C4" s="1" t="s">
        <v>1231</v>
      </c>
      <c r="D4" s="1" t="s">
        <v>1232</v>
      </c>
      <c r="E4" s="1" t="s">
        <v>1233</v>
      </c>
      <c r="F4" s="1" t="s">
        <v>1234</v>
      </c>
      <c r="G4" s="1" t="s">
        <v>1235</v>
      </c>
      <c r="H4" s="1" t="s">
        <v>3</v>
      </c>
      <c r="I4" s="5"/>
    </row>
    <row r="5">
      <c r="A5" s="1" t="s">
        <v>355</v>
      </c>
      <c r="B5" s="1" t="s">
        <v>943</v>
      </c>
      <c r="C5" s="1" t="s">
        <v>1236</v>
      </c>
      <c r="D5" s="1" t="s">
        <v>1237</v>
      </c>
      <c r="E5" s="1" t="s">
        <v>1238</v>
      </c>
      <c r="F5" s="1" t="s">
        <v>1239</v>
      </c>
      <c r="G5" s="1" t="s">
        <v>1240</v>
      </c>
      <c r="H5" s="1" t="s">
        <v>5</v>
      </c>
      <c r="I5" s="1" t="s">
        <v>1241</v>
      </c>
    </row>
    <row r="6">
      <c r="A6" s="1" t="s">
        <v>355</v>
      </c>
      <c r="B6" s="1" t="s">
        <v>943</v>
      </c>
      <c r="C6" s="1" t="s">
        <v>1242</v>
      </c>
      <c r="D6" s="1" t="s">
        <v>1243</v>
      </c>
      <c r="E6" s="1" t="s">
        <v>1244</v>
      </c>
      <c r="F6" s="1" t="s">
        <v>1245</v>
      </c>
      <c r="G6" s="1" t="s">
        <v>1246</v>
      </c>
      <c r="H6" s="1" t="s">
        <v>5</v>
      </c>
      <c r="I6" s="5"/>
    </row>
    <row r="7">
      <c r="A7" s="1" t="s">
        <v>355</v>
      </c>
      <c r="B7" s="1" t="s">
        <v>943</v>
      </c>
      <c r="C7" s="1" t="s">
        <v>1247</v>
      </c>
      <c r="D7" s="1" t="s">
        <v>1248</v>
      </c>
      <c r="E7" s="1" t="s">
        <v>682</v>
      </c>
      <c r="F7" s="1" t="s">
        <v>1249</v>
      </c>
      <c r="G7" s="1" t="s">
        <v>1250</v>
      </c>
      <c r="H7" s="1" t="s">
        <v>3</v>
      </c>
      <c r="I7" s="5"/>
    </row>
    <row r="8">
      <c r="A8" s="1" t="s">
        <v>355</v>
      </c>
      <c r="B8" s="1" t="s">
        <v>943</v>
      </c>
      <c r="C8" s="1" t="s">
        <v>1251</v>
      </c>
      <c r="D8" s="1">
        <v>0.0</v>
      </c>
      <c r="E8" s="1">
        <v>16.0</v>
      </c>
      <c r="F8" s="1">
        <v>64.0</v>
      </c>
      <c r="G8" s="1">
        <v>32.0</v>
      </c>
      <c r="H8" s="1" t="s">
        <v>4</v>
      </c>
      <c r="I8" s="5"/>
    </row>
    <row r="9">
      <c r="A9" s="1" t="s">
        <v>355</v>
      </c>
      <c r="B9" s="1" t="s">
        <v>943</v>
      </c>
      <c r="C9" s="1" t="s">
        <v>1252</v>
      </c>
      <c r="D9" s="1" t="s">
        <v>1253</v>
      </c>
      <c r="E9" s="1" t="s">
        <v>1254</v>
      </c>
      <c r="F9" s="1" t="s">
        <v>1255</v>
      </c>
      <c r="G9" s="1" t="s">
        <v>1256</v>
      </c>
      <c r="H9" s="1" t="s">
        <v>4</v>
      </c>
      <c r="I9" s="5"/>
    </row>
    <row r="10">
      <c r="A10" s="1" t="s">
        <v>355</v>
      </c>
      <c r="B10" s="1" t="s">
        <v>943</v>
      </c>
      <c r="C10" s="1" t="s">
        <v>1257</v>
      </c>
      <c r="D10" s="1" t="s">
        <v>1258</v>
      </c>
      <c r="E10" s="1" t="s">
        <v>1259</v>
      </c>
      <c r="F10" s="1" t="s">
        <v>1260</v>
      </c>
      <c r="G10" s="1" t="s">
        <v>1261</v>
      </c>
      <c r="H10" s="1" t="s">
        <v>5</v>
      </c>
      <c r="I10" s="1" t="s">
        <v>1241</v>
      </c>
    </row>
    <row r="11">
      <c r="A11" s="1" t="s">
        <v>355</v>
      </c>
      <c r="B11" s="1" t="s">
        <v>943</v>
      </c>
      <c r="C11" s="1" t="s">
        <v>1262</v>
      </c>
      <c r="D11" s="1">
        <v>4.0</v>
      </c>
      <c r="E11" s="1">
        <v>7.0</v>
      </c>
      <c r="F11" s="1">
        <v>9.0</v>
      </c>
      <c r="G11" s="1">
        <v>10.0</v>
      </c>
      <c r="H11" s="1" t="s">
        <v>5</v>
      </c>
      <c r="I11" s="5"/>
    </row>
    <row r="12">
      <c r="A12" s="1" t="s">
        <v>355</v>
      </c>
      <c r="B12" s="1" t="s">
        <v>943</v>
      </c>
      <c r="C12" s="1" t="s">
        <v>1263</v>
      </c>
      <c r="D12" s="1" t="s">
        <v>1264</v>
      </c>
      <c r="E12" s="1" t="s">
        <v>1265</v>
      </c>
      <c r="F12" s="1" t="s">
        <v>737</v>
      </c>
      <c r="G12" s="1" t="s">
        <v>556</v>
      </c>
      <c r="H12" s="1" t="s">
        <v>4</v>
      </c>
      <c r="I12" s="5"/>
    </row>
    <row r="13">
      <c r="A13" s="1" t="s">
        <v>355</v>
      </c>
      <c r="B13" s="1" t="s">
        <v>943</v>
      </c>
      <c r="C13" s="1" t="s">
        <v>1266</v>
      </c>
      <c r="D13" s="1" t="s">
        <v>1267</v>
      </c>
      <c r="E13" s="1" t="s">
        <v>646</v>
      </c>
      <c r="F13" s="1" t="s">
        <v>1268</v>
      </c>
      <c r="G13" s="1" t="s">
        <v>1269</v>
      </c>
      <c r="H13" s="1" t="s">
        <v>5</v>
      </c>
      <c r="I13" s="5"/>
    </row>
    <row r="14">
      <c r="A14" s="1" t="s">
        <v>355</v>
      </c>
      <c r="B14" s="1" t="s">
        <v>943</v>
      </c>
      <c r="C14" s="1" t="s">
        <v>1270</v>
      </c>
      <c r="D14" s="1">
        <v>0.0</v>
      </c>
      <c r="E14" s="2">
        <v>46054.0</v>
      </c>
      <c r="F14" s="1">
        <v>2.0</v>
      </c>
      <c r="G14" s="1">
        <v>4.0</v>
      </c>
      <c r="H14" s="1" t="s">
        <v>4</v>
      </c>
      <c r="I14" s="5"/>
    </row>
    <row r="15">
      <c r="A15" s="1" t="s">
        <v>355</v>
      </c>
      <c r="B15" s="1" t="s">
        <v>943</v>
      </c>
      <c r="C15" s="1" t="s">
        <v>1271</v>
      </c>
      <c r="D15" s="2">
        <v>46082.0</v>
      </c>
      <c r="E15" s="2">
        <v>46086.0</v>
      </c>
      <c r="F15" s="2">
        <v>46085.0</v>
      </c>
      <c r="G15" s="1" t="s">
        <v>837</v>
      </c>
      <c r="H15" s="1" t="s">
        <v>5</v>
      </c>
      <c r="I15" s="5"/>
    </row>
    <row r="16">
      <c r="A16" s="1" t="s">
        <v>355</v>
      </c>
      <c r="B16" s="1" t="s">
        <v>943</v>
      </c>
      <c r="C16" s="1" t="s">
        <v>1272</v>
      </c>
      <c r="D16" s="1" t="s">
        <v>1273</v>
      </c>
      <c r="E16" s="1" t="s">
        <v>1274</v>
      </c>
      <c r="F16" s="1" t="s">
        <v>1275</v>
      </c>
      <c r="G16" s="1" t="s">
        <v>1276</v>
      </c>
      <c r="H16" s="1" t="s">
        <v>3</v>
      </c>
      <c r="I16" s="5"/>
    </row>
    <row r="17">
      <c r="A17" s="1" t="s">
        <v>355</v>
      </c>
      <c r="B17" s="1" t="s">
        <v>943</v>
      </c>
      <c r="C17" s="1" t="s">
        <v>1277</v>
      </c>
      <c r="D17" s="1" t="s">
        <v>1278</v>
      </c>
      <c r="E17" s="1" t="s">
        <v>1279</v>
      </c>
      <c r="F17" s="1" t="s">
        <v>1280</v>
      </c>
      <c r="G17" s="1" t="s">
        <v>618</v>
      </c>
      <c r="H17" s="1" t="s">
        <v>6</v>
      </c>
      <c r="I17" s="5"/>
    </row>
    <row r="18">
      <c r="A18" s="1" t="s">
        <v>355</v>
      </c>
      <c r="B18" s="1" t="s">
        <v>943</v>
      </c>
      <c r="C18" s="1" t="s">
        <v>1281</v>
      </c>
      <c r="D18" s="1" t="s">
        <v>683</v>
      </c>
      <c r="E18" s="1" t="s">
        <v>682</v>
      </c>
      <c r="F18" s="1" t="s">
        <v>1235</v>
      </c>
      <c r="G18" s="1" t="s">
        <v>1113</v>
      </c>
      <c r="H18" s="1" t="s">
        <v>6</v>
      </c>
      <c r="I18" s="5"/>
    </row>
    <row r="19">
      <c r="A19" s="1" t="s">
        <v>355</v>
      </c>
      <c r="B19" s="1" t="s">
        <v>943</v>
      </c>
      <c r="C19" s="1" t="s">
        <v>1282</v>
      </c>
      <c r="D19" s="1">
        <v>55.0</v>
      </c>
      <c r="E19" s="1">
        <v>73.0</v>
      </c>
      <c r="F19" s="1">
        <v>81.0</v>
      </c>
      <c r="G19" s="1">
        <v>47.0</v>
      </c>
      <c r="H19" s="1" t="s">
        <v>4</v>
      </c>
      <c r="I19" s="5"/>
    </row>
    <row r="20">
      <c r="A20" s="1" t="s">
        <v>355</v>
      </c>
      <c r="B20" s="1" t="s">
        <v>943</v>
      </c>
      <c r="C20" s="1" t="s">
        <v>1283</v>
      </c>
      <c r="D20" s="1" t="s">
        <v>1284</v>
      </c>
      <c r="E20" s="1" t="s">
        <v>1240</v>
      </c>
      <c r="F20" s="1" t="s">
        <v>1285</v>
      </c>
      <c r="G20" s="1" t="s">
        <v>1286</v>
      </c>
      <c r="H20" s="1" t="s">
        <v>4</v>
      </c>
      <c r="I20" s="5"/>
    </row>
    <row r="21">
      <c r="A21" s="1" t="s">
        <v>355</v>
      </c>
      <c r="B21" s="1" t="s">
        <v>943</v>
      </c>
      <c r="C21" s="1" t="s">
        <v>1287</v>
      </c>
      <c r="D21" s="2">
        <v>46083.0</v>
      </c>
      <c r="E21" s="2">
        <v>46085.0</v>
      </c>
      <c r="F21" s="2">
        <v>46146.0</v>
      </c>
      <c r="G21" s="2">
        <v>46145.0</v>
      </c>
      <c r="H21" s="1" t="s">
        <v>4</v>
      </c>
      <c r="I21" s="1" t="s">
        <v>1241</v>
      </c>
    </row>
    <row r="22">
      <c r="A22" s="1" t="s">
        <v>355</v>
      </c>
      <c r="B22" s="1" t="s">
        <v>943</v>
      </c>
      <c r="C22" s="1" t="s">
        <v>1288</v>
      </c>
      <c r="D22" s="1" t="s">
        <v>1264</v>
      </c>
      <c r="E22" s="1" t="s">
        <v>1265</v>
      </c>
      <c r="F22" s="1" t="s">
        <v>737</v>
      </c>
      <c r="G22" s="1">
        <v>9.0</v>
      </c>
      <c r="H22" s="1" t="s">
        <v>4</v>
      </c>
      <c r="I22" s="5"/>
    </row>
    <row r="23">
      <c r="A23" s="1" t="s">
        <v>355</v>
      </c>
      <c r="B23" s="1" t="s">
        <v>943</v>
      </c>
      <c r="C23" s="1" t="s">
        <v>1289</v>
      </c>
      <c r="D23" s="1" t="s">
        <v>1267</v>
      </c>
      <c r="E23" s="1" t="s">
        <v>645</v>
      </c>
      <c r="F23" s="1" t="s">
        <v>532</v>
      </c>
      <c r="G23" s="1" t="s">
        <v>1268</v>
      </c>
      <c r="H23" s="1" t="s">
        <v>4</v>
      </c>
      <c r="I23" s="5"/>
    </row>
    <row r="24">
      <c r="A24" s="1" t="s">
        <v>355</v>
      </c>
      <c r="B24" s="1" t="s">
        <v>943</v>
      </c>
      <c r="C24" s="1" t="s">
        <v>1290</v>
      </c>
      <c r="D24" s="1">
        <v>-2.0</v>
      </c>
      <c r="E24" s="1">
        <v>2.0</v>
      </c>
      <c r="F24" s="2">
        <v>46054.0</v>
      </c>
      <c r="G24" s="1" t="s">
        <v>360</v>
      </c>
      <c r="H24" s="1" t="s">
        <v>3</v>
      </c>
      <c r="I24" s="5"/>
    </row>
    <row r="25">
      <c r="A25" s="1" t="s">
        <v>355</v>
      </c>
      <c r="B25" s="1" t="s">
        <v>943</v>
      </c>
      <c r="C25" s="1" t="s">
        <v>1291</v>
      </c>
      <c r="D25" s="1">
        <v>-4.0</v>
      </c>
      <c r="E25" s="1">
        <v>0.0</v>
      </c>
      <c r="F25" s="1">
        <v>-8.0</v>
      </c>
      <c r="G25" s="1" t="s">
        <v>837</v>
      </c>
      <c r="H25" s="1" t="s">
        <v>5</v>
      </c>
      <c r="I25" s="5"/>
    </row>
    <row r="26">
      <c r="A26" s="1" t="s">
        <v>355</v>
      </c>
      <c r="B26" s="1" t="s">
        <v>943</v>
      </c>
      <c r="C26" s="1" t="s">
        <v>1292</v>
      </c>
      <c r="D26" s="1">
        <v>1.0</v>
      </c>
      <c r="E26" s="1">
        <v>0.0</v>
      </c>
      <c r="F26" s="1">
        <v>2.0</v>
      </c>
      <c r="G26" s="1">
        <v>3.0</v>
      </c>
      <c r="H26" s="1" t="s">
        <v>5</v>
      </c>
      <c r="I26" s="5"/>
    </row>
    <row r="27">
      <c r="A27" s="1" t="s">
        <v>355</v>
      </c>
      <c r="B27" s="1" t="s">
        <v>943</v>
      </c>
      <c r="C27" s="1" t="s">
        <v>1293</v>
      </c>
      <c r="D27" s="1">
        <v>4.0</v>
      </c>
      <c r="E27" s="1">
        <v>3.0</v>
      </c>
      <c r="F27" s="1">
        <v>2.0</v>
      </c>
      <c r="G27" s="1">
        <v>6.0</v>
      </c>
      <c r="H27" s="1" t="s">
        <v>3</v>
      </c>
      <c r="I27" s="1" t="s">
        <v>1241</v>
      </c>
    </row>
    <row r="28">
      <c r="A28" s="1" t="s">
        <v>355</v>
      </c>
      <c r="B28" s="1" t="s">
        <v>943</v>
      </c>
      <c r="C28" s="1" t="s">
        <v>1294</v>
      </c>
      <c r="D28" s="1">
        <v>16.0</v>
      </c>
      <c r="E28" s="1">
        <v>32.0</v>
      </c>
      <c r="F28" s="1">
        <v>64.0</v>
      </c>
      <c r="G28" s="1">
        <v>1281.0</v>
      </c>
      <c r="H28" s="1" t="s">
        <v>5</v>
      </c>
      <c r="I28" s="5"/>
    </row>
    <row r="29">
      <c r="A29" s="1" t="s">
        <v>355</v>
      </c>
      <c r="B29" s="1" t="s">
        <v>943</v>
      </c>
      <c r="C29" s="1" t="s">
        <v>1295</v>
      </c>
      <c r="D29" s="1" t="s">
        <v>1296</v>
      </c>
      <c r="E29" s="1" t="s">
        <v>1297</v>
      </c>
      <c r="F29" s="1" t="s">
        <v>1298</v>
      </c>
      <c r="G29" s="1" t="s">
        <v>1299</v>
      </c>
      <c r="H29" s="1" t="s">
        <v>4</v>
      </c>
      <c r="I29" s="5"/>
    </row>
    <row r="30">
      <c r="A30" s="1" t="s">
        <v>355</v>
      </c>
      <c r="B30" s="1" t="s">
        <v>943</v>
      </c>
      <c r="C30" s="1" t="s">
        <v>1300</v>
      </c>
      <c r="D30" s="1" t="s">
        <v>1274</v>
      </c>
      <c r="E30" s="1" t="s">
        <v>1301</v>
      </c>
      <c r="F30" s="1" t="s">
        <v>1302</v>
      </c>
      <c r="G30" s="1" t="s">
        <v>1303</v>
      </c>
      <c r="H30" s="1" t="s">
        <v>6</v>
      </c>
      <c r="I30" s="5"/>
    </row>
    <row r="31">
      <c r="A31" s="1" t="s">
        <v>355</v>
      </c>
      <c r="B31" s="1" t="s">
        <v>943</v>
      </c>
      <c r="C31" s="1" t="s">
        <v>1304</v>
      </c>
      <c r="D31" s="1" t="s">
        <v>1305</v>
      </c>
      <c r="E31" s="1" t="s">
        <v>1306</v>
      </c>
      <c r="F31" s="1" t="s">
        <v>1307</v>
      </c>
      <c r="G31" s="1" t="s">
        <v>1256</v>
      </c>
      <c r="H31" s="1" t="s">
        <v>6</v>
      </c>
      <c r="I31" s="1" t="s">
        <v>1241</v>
      </c>
    </row>
    <row r="32">
      <c r="A32" s="1" t="s">
        <v>355</v>
      </c>
      <c r="B32" s="1" t="s">
        <v>943</v>
      </c>
      <c r="C32" s="1" t="s">
        <v>1308</v>
      </c>
      <c r="D32" s="1" t="s">
        <v>1309</v>
      </c>
      <c r="E32" s="1" t="s">
        <v>1310</v>
      </c>
      <c r="F32" s="1" t="s">
        <v>1311</v>
      </c>
      <c r="G32" s="1" t="s">
        <v>1312</v>
      </c>
      <c r="H32" s="1" t="s">
        <v>3</v>
      </c>
      <c r="I32" s="5"/>
    </row>
    <row r="33">
      <c r="A33" s="1" t="s">
        <v>355</v>
      </c>
      <c r="B33" s="1" t="s">
        <v>943</v>
      </c>
      <c r="C33" s="1" t="s">
        <v>1313</v>
      </c>
      <c r="D33" s="1" t="s">
        <v>1314</v>
      </c>
      <c r="E33" s="1" t="s">
        <v>618</v>
      </c>
      <c r="F33" s="1" t="s">
        <v>1280</v>
      </c>
      <c r="G33" s="1" t="s">
        <v>1315</v>
      </c>
      <c r="H33" s="1" t="s">
        <v>4</v>
      </c>
      <c r="I33" s="5"/>
    </row>
    <row r="34">
      <c r="A34" s="1" t="s">
        <v>355</v>
      </c>
      <c r="B34" s="1" t="s">
        <v>943</v>
      </c>
      <c r="C34" s="1" t="s">
        <v>1316</v>
      </c>
      <c r="D34" s="1" t="s">
        <v>1317</v>
      </c>
      <c r="E34" s="1" t="s">
        <v>1318</v>
      </c>
      <c r="F34" s="1" t="s">
        <v>1319</v>
      </c>
      <c r="G34" s="1" t="s">
        <v>1320</v>
      </c>
      <c r="H34" s="1" t="s">
        <v>5</v>
      </c>
      <c r="I34" s="5"/>
    </row>
    <row r="35">
      <c r="A35" s="1" t="s">
        <v>355</v>
      </c>
      <c r="B35" s="1" t="s">
        <v>943</v>
      </c>
      <c r="C35" s="1" t="s">
        <v>1321</v>
      </c>
      <c r="D35" s="1" t="s">
        <v>1268</v>
      </c>
      <c r="E35" s="1" t="s">
        <v>1267</v>
      </c>
      <c r="F35" s="1" t="s">
        <v>1322</v>
      </c>
      <c r="G35" s="1" t="s">
        <v>1323</v>
      </c>
      <c r="H35" s="1" t="s">
        <v>6</v>
      </c>
      <c r="I35" s="5"/>
    </row>
    <row r="36">
      <c r="A36" s="1" t="s">
        <v>355</v>
      </c>
      <c r="B36" s="1" t="s">
        <v>943</v>
      </c>
      <c r="C36" s="1" t="s">
        <v>1324</v>
      </c>
      <c r="D36" s="2">
        <v>46113.0</v>
      </c>
      <c r="E36" s="1" t="s">
        <v>671</v>
      </c>
      <c r="F36" s="1">
        <v>1.0</v>
      </c>
      <c r="G36" s="1" t="s">
        <v>22</v>
      </c>
      <c r="H36" s="1" t="s">
        <v>3</v>
      </c>
      <c r="I36" s="5"/>
    </row>
    <row r="37">
      <c r="A37" s="1" t="s">
        <v>355</v>
      </c>
      <c r="B37" s="1" t="s">
        <v>943</v>
      </c>
      <c r="C37" s="1" t="s">
        <v>1325</v>
      </c>
      <c r="D37" s="1" t="s">
        <v>1326</v>
      </c>
      <c r="E37" s="1" t="s">
        <v>1327</v>
      </c>
      <c r="F37" s="1" t="s">
        <v>1328</v>
      </c>
      <c r="G37" s="1" t="s">
        <v>1329</v>
      </c>
      <c r="H37" s="1" t="s">
        <v>5</v>
      </c>
      <c r="I37" s="1" t="s">
        <v>1241</v>
      </c>
    </row>
    <row r="38">
      <c r="A38" s="1" t="s">
        <v>355</v>
      </c>
      <c r="B38" s="1" t="s">
        <v>943</v>
      </c>
      <c r="C38" s="1" t="s">
        <v>1236</v>
      </c>
      <c r="D38" s="1" t="s">
        <v>1330</v>
      </c>
      <c r="E38" s="1" t="s">
        <v>1331</v>
      </c>
      <c r="F38" s="1" t="s">
        <v>1332</v>
      </c>
      <c r="G38" s="1" t="s">
        <v>1333</v>
      </c>
      <c r="H38" s="1" t="s">
        <v>5</v>
      </c>
      <c r="I38" s="5"/>
    </row>
    <row r="39">
      <c r="A39" s="1" t="s">
        <v>355</v>
      </c>
      <c r="B39" s="1" t="s">
        <v>943</v>
      </c>
      <c r="C39" s="1" t="s">
        <v>1334</v>
      </c>
      <c r="D39" s="1" t="s">
        <v>1335</v>
      </c>
      <c r="E39" s="1" t="s">
        <v>1336</v>
      </c>
      <c r="F39" s="1" t="s">
        <v>1337</v>
      </c>
      <c r="G39" s="1" t="s">
        <v>1338</v>
      </c>
      <c r="H39" s="1" t="s">
        <v>6</v>
      </c>
      <c r="I39" s="5"/>
    </row>
    <row r="40">
      <c r="A40" s="1" t="s">
        <v>355</v>
      </c>
      <c r="B40" s="1" t="s">
        <v>943</v>
      </c>
      <c r="C40" s="1" t="s">
        <v>1339</v>
      </c>
      <c r="D40" s="1" t="s">
        <v>645</v>
      </c>
      <c r="E40" s="1" t="s">
        <v>532</v>
      </c>
      <c r="F40" s="1" t="s">
        <v>655</v>
      </c>
      <c r="G40" s="1" t="s">
        <v>646</v>
      </c>
      <c r="H40" s="1" t="s">
        <v>3</v>
      </c>
      <c r="I40" s="5"/>
    </row>
    <row r="41">
      <c r="A41" s="1" t="s">
        <v>355</v>
      </c>
      <c r="B41" s="1" t="s">
        <v>943</v>
      </c>
      <c r="C41" s="1" t="s">
        <v>1340</v>
      </c>
      <c r="D41" s="1">
        <v>25.0</v>
      </c>
      <c r="E41" s="1">
        <v>425.0</v>
      </c>
      <c r="F41" s="1">
        <v>750.0</v>
      </c>
      <c r="G41" s="1">
        <v>-25.0</v>
      </c>
      <c r="H41" s="1" t="s">
        <v>3</v>
      </c>
      <c r="I41" s="5"/>
    </row>
    <row r="42">
      <c r="A42" s="1" t="s">
        <v>355</v>
      </c>
      <c r="B42" s="1" t="s">
        <v>943</v>
      </c>
      <c r="C42" s="1" t="s">
        <v>1341</v>
      </c>
      <c r="D42" s="1" t="s">
        <v>683</v>
      </c>
      <c r="E42" s="1" t="s">
        <v>1342</v>
      </c>
      <c r="F42" s="1" t="s">
        <v>1343</v>
      </c>
      <c r="G42" s="1" t="s">
        <v>22</v>
      </c>
      <c r="H42" s="1" t="s">
        <v>4</v>
      </c>
      <c r="I42" s="5"/>
    </row>
    <row r="43">
      <c r="A43" s="1" t="s">
        <v>355</v>
      </c>
      <c r="B43" s="1" t="s">
        <v>943</v>
      </c>
      <c r="C43" s="1" t="s">
        <v>1344</v>
      </c>
      <c r="D43" s="1" t="s">
        <v>1345</v>
      </c>
      <c r="E43" s="1" t="s">
        <v>1346</v>
      </c>
      <c r="F43" s="1" t="s">
        <v>1347</v>
      </c>
      <c r="G43" s="1" t="s">
        <v>1348</v>
      </c>
      <c r="H43" s="1" t="s">
        <v>6</v>
      </c>
      <c r="I43" s="1" t="s">
        <v>1241</v>
      </c>
    </row>
    <row r="44">
      <c r="A44" s="1" t="s">
        <v>355</v>
      </c>
      <c r="B44" s="1" t="s">
        <v>943</v>
      </c>
      <c r="C44" s="1" t="s">
        <v>1349</v>
      </c>
      <c r="D44" s="1" t="s">
        <v>1350</v>
      </c>
      <c r="E44" s="2">
        <v>46082.0</v>
      </c>
      <c r="F44" s="1">
        <v>-3.0</v>
      </c>
      <c r="G44" s="1">
        <v>3.0</v>
      </c>
      <c r="H44" s="1" t="s">
        <v>6</v>
      </c>
      <c r="I44" s="5"/>
    </row>
    <row r="45">
      <c r="A45" s="1" t="s">
        <v>355</v>
      </c>
      <c r="B45" s="1" t="s">
        <v>943</v>
      </c>
      <c r="C45" s="1" t="s">
        <v>1351</v>
      </c>
      <c r="D45" s="1" t="s">
        <v>28</v>
      </c>
      <c r="E45" s="1" t="s">
        <v>1352</v>
      </c>
      <c r="F45" s="1" t="s">
        <v>1353</v>
      </c>
      <c r="G45" s="1" t="s">
        <v>1354</v>
      </c>
      <c r="H45" s="1" t="s">
        <v>5</v>
      </c>
      <c r="I45" s="5"/>
    </row>
    <row r="46">
      <c r="A46" s="1" t="s">
        <v>355</v>
      </c>
      <c r="B46" s="1" t="s">
        <v>943</v>
      </c>
      <c r="C46" s="1" t="s">
        <v>1355</v>
      </c>
      <c r="D46" s="1" t="s">
        <v>1356</v>
      </c>
      <c r="E46" s="1" t="s">
        <v>1357</v>
      </c>
      <c r="F46" s="1" t="s">
        <v>1358</v>
      </c>
      <c r="G46" s="1" t="s">
        <v>1359</v>
      </c>
      <c r="H46" s="1" t="s">
        <v>4</v>
      </c>
      <c r="I46" s="5"/>
    </row>
    <row r="47">
      <c r="A47" s="1" t="s">
        <v>355</v>
      </c>
      <c r="B47" s="1" t="s">
        <v>943</v>
      </c>
      <c r="C47" s="1" t="s">
        <v>1360</v>
      </c>
      <c r="D47" s="1">
        <v>-3.0</v>
      </c>
      <c r="E47" s="1">
        <v>4.0</v>
      </c>
      <c r="F47" s="1">
        <v>-4.0</v>
      </c>
      <c r="G47" s="1">
        <v>2.0</v>
      </c>
      <c r="H47" s="1" t="s">
        <v>4</v>
      </c>
      <c r="I47" s="1" t="s">
        <v>1241</v>
      </c>
    </row>
    <row r="48">
      <c r="A48" s="1" t="s">
        <v>355</v>
      </c>
      <c r="B48" s="1" t="s">
        <v>943</v>
      </c>
      <c r="C48" s="1" t="s">
        <v>1361</v>
      </c>
      <c r="D48" s="1">
        <v>1.0</v>
      </c>
      <c r="E48" s="1">
        <v>-1.0</v>
      </c>
      <c r="F48" s="1">
        <v>2.0</v>
      </c>
      <c r="G48" s="1">
        <v>-2.0</v>
      </c>
      <c r="H48" s="1" t="s">
        <v>3</v>
      </c>
      <c r="I48" s="5"/>
    </row>
    <row r="49">
      <c r="A49" s="1" t="s">
        <v>355</v>
      </c>
      <c r="B49" s="1" t="s">
        <v>943</v>
      </c>
      <c r="C49" s="1" t="s">
        <v>1362</v>
      </c>
      <c r="D49" s="1">
        <v>49.0</v>
      </c>
      <c r="E49" s="1">
        <v>-49.0</v>
      </c>
      <c r="F49" s="1">
        <v>13.0</v>
      </c>
      <c r="G49" s="1">
        <v>169.0</v>
      </c>
      <c r="H49" s="1" t="s">
        <v>3</v>
      </c>
      <c r="I49" s="5"/>
    </row>
    <row r="50">
      <c r="A50" s="1" t="s">
        <v>355</v>
      </c>
      <c r="B50" s="1" t="s">
        <v>943</v>
      </c>
      <c r="C50" s="1" t="s">
        <v>1363</v>
      </c>
      <c r="D50" s="2">
        <v>46058.0</v>
      </c>
      <c r="E50" s="1">
        <v>0.0</v>
      </c>
      <c r="F50" s="1" t="s">
        <v>584</v>
      </c>
      <c r="G50" s="1">
        <v>5.0</v>
      </c>
      <c r="H50" s="1" t="s">
        <v>4</v>
      </c>
      <c r="I50" s="5"/>
    </row>
    <row r="51">
      <c r="A51" s="1" t="s">
        <v>355</v>
      </c>
      <c r="B51" s="1" t="s">
        <v>943</v>
      </c>
      <c r="C51" s="1" t="s">
        <v>1364</v>
      </c>
      <c r="D51" s="1" t="s">
        <v>373</v>
      </c>
      <c r="E51" s="1" t="s">
        <v>1365</v>
      </c>
      <c r="F51" s="1" t="s">
        <v>1366</v>
      </c>
      <c r="G51" s="1" t="s">
        <v>1367</v>
      </c>
      <c r="H51" s="1" t="s">
        <v>4</v>
      </c>
      <c r="I51" s="5"/>
    </row>
    <row r="52">
      <c r="A52" s="1" t="s">
        <v>355</v>
      </c>
      <c r="B52" s="1" t="s">
        <v>943</v>
      </c>
      <c r="C52" s="1" t="s">
        <v>1368</v>
      </c>
      <c r="D52" s="1" t="s">
        <v>1369</v>
      </c>
      <c r="E52" s="1" t="s">
        <v>1370</v>
      </c>
      <c r="F52" s="1" t="s">
        <v>1371</v>
      </c>
      <c r="G52" s="1" t="s">
        <v>1372</v>
      </c>
      <c r="H52" s="1" t="s">
        <v>3</v>
      </c>
      <c r="I52" s="5"/>
    </row>
    <row r="53">
      <c r="A53" s="1" t="s">
        <v>355</v>
      </c>
      <c r="B53" s="1" t="s">
        <v>943</v>
      </c>
      <c r="C53" s="1" t="s">
        <v>1373</v>
      </c>
      <c r="D53" s="1">
        <v>1.0</v>
      </c>
      <c r="E53" s="1">
        <v>2.0</v>
      </c>
      <c r="F53" s="1">
        <v>3.0</v>
      </c>
      <c r="G53" s="1">
        <v>4.0</v>
      </c>
      <c r="H53" s="1" t="s">
        <v>5</v>
      </c>
      <c r="I53" s="5"/>
    </row>
    <row r="54">
      <c r="A54" s="1" t="s">
        <v>355</v>
      </c>
      <c r="B54" s="1" t="s">
        <v>943</v>
      </c>
      <c r="C54" s="1" t="s">
        <v>1374</v>
      </c>
      <c r="D54" s="1">
        <v>1.0</v>
      </c>
      <c r="E54" s="1">
        <v>2.0</v>
      </c>
      <c r="F54" s="1">
        <v>3.0</v>
      </c>
      <c r="G54" s="1">
        <v>4.0</v>
      </c>
      <c r="H54" s="1" t="s">
        <v>5</v>
      </c>
      <c r="I54" s="5"/>
    </row>
    <row r="55">
      <c r="A55" s="1" t="s">
        <v>355</v>
      </c>
      <c r="B55" s="1" t="s">
        <v>943</v>
      </c>
      <c r="C55" s="1" t="s">
        <v>1375</v>
      </c>
      <c r="D55" s="1">
        <v>1.0</v>
      </c>
      <c r="E55" s="1">
        <v>2.0</v>
      </c>
      <c r="F55" s="1">
        <v>3.0</v>
      </c>
      <c r="G55" s="1" t="s">
        <v>417</v>
      </c>
      <c r="H55" s="1" t="s">
        <v>4</v>
      </c>
      <c r="I55" s="5"/>
    </row>
    <row r="56">
      <c r="A56" s="1" t="s">
        <v>355</v>
      </c>
      <c r="B56" s="1" t="s">
        <v>943</v>
      </c>
      <c r="C56" s="1" t="s">
        <v>1376</v>
      </c>
      <c r="D56" s="1" t="s">
        <v>645</v>
      </c>
      <c r="E56" s="1" t="s">
        <v>452</v>
      </c>
      <c r="F56" s="1" t="s">
        <v>646</v>
      </c>
      <c r="G56" s="1" t="s">
        <v>532</v>
      </c>
      <c r="H56" s="1" t="s">
        <v>4</v>
      </c>
      <c r="I56" s="5"/>
    </row>
    <row r="57">
      <c r="A57" s="1" t="s">
        <v>355</v>
      </c>
      <c r="B57" s="1" t="s">
        <v>943</v>
      </c>
      <c r="C57" s="1" t="s">
        <v>1377</v>
      </c>
      <c r="D57" s="1" t="s">
        <v>682</v>
      </c>
      <c r="E57" s="1" t="s">
        <v>683</v>
      </c>
      <c r="F57" s="1" t="s">
        <v>1378</v>
      </c>
      <c r="G57" s="1" t="s">
        <v>22</v>
      </c>
      <c r="H57" s="1" t="s">
        <v>5</v>
      </c>
      <c r="I57" s="5"/>
    </row>
    <row r="58">
      <c r="A58" s="1" t="s">
        <v>355</v>
      </c>
      <c r="B58" s="1" t="s">
        <v>943</v>
      </c>
      <c r="C58" s="1" t="s">
        <v>1379</v>
      </c>
      <c r="D58" s="1" t="s">
        <v>1380</v>
      </c>
      <c r="E58" s="1" t="s">
        <v>1381</v>
      </c>
      <c r="F58" s="1" t="s">
        <v>1382</v>
      </c>
      <c r="G58" s="1" t="s">
        <v>1383</v>
      </c>
      <c r="H58" s="1" t="s">
        <v>3</v>
      </c>
      <c r="I58" s="5"/>
    </row>
    <row r="59">
      <c r="A59" s="1" t="s">
        <v>355</v>
      </c>
      <c r="B59" s="1" t="s">
        <v>943</v>
      </c>
      <c r="C59" s="1" t="s">
        <v>1384</v>
      </c>
      <c r="D59" s="1">
        <v>2.0</v>
      </c>
      <c r="E59" s="1">
        <v>3.0</v>
      </c>
      <c r="F59" s="1" t="s">
        <v>1264</v>
      </c>
      <c r="G59" s="1">
        <v>4.0</v>
      </c>
      <c r="H59" s="1" t="s">
        <v>5</v>
      </c>
      <c r="I59" s="5"/>
    </row>
    <row r="60">
      <c r="A60" s="1" t="s">
        <v>355</v>
      </c>
      <c r="B60" s="1" t="s">
        <v>943</v>
      </c>
      <c r="C60" s="1" t="s">
        <v>1385</v>
      </c>
      <c r="D60" s="1" t="s">
        <v>1386</v>
      </c>
      <c r="E60" s="1" t="s">
        <v>1387</v>
      </c>
      <c r="F60" s="1" t="s">
        <v>1388</v>
      </c>
      <c r="G60" s="1" t="s">
        <v>1389</v>
      </c>
      <c r="H60" s="1" t="s">
        <v>3</v>
      </c>
      <c r="I60" s="5"/>
    </row>
    <row r="61">
      <c r="A61" s="1" t="s">
        <v>355</v>
      </c>
      <c r="B61" s="1" t="s">
        <v>943</v>
      </c>
      <c r="C61" s="1" t="s">
        <v>1390</v>
      </c>
      <c r="D61" s="1" t="s">
        <v>1391</v>
      </c>
      <c r="E61" s="1" t="s">
        <v>1392</v>
      </c>
      <c r="F61" s="1" t="s">
        <v>1393</v>
      </c>
      <c r="G61" s="1" t="s">
        <v>1394</v>
      </c>
      <c r="H61" s="1" t="s">
        <v>3</v>
      </c>
      <c r="I61" s="5"/>
    </row>
    <row r="62">
      <c r="A62" s="1" t="s">
        <v>355</v>
      </c>
      <c r="B62" s="1" t="s">
        <v>943</v>
      </c>
      <c r="C62" s="1" t="s">
        <v>1395</v>
      </c>
      <c r="D62" s="1" t="s">
        <v>1396</v>
      </c>
      <c r="E62" s="1" t="s">
        <v>943</v>
      </c>
      <c r="F62" s="1" t="s">
        <v>1397</v>
      </c>
      <c r="G62" s="1" t="s">
        <v>22</v>
      </c>
      <c r="H62" s="1" t="s">
        <v>4</v>
      </c>
      <c r="I62" s="5"/>
    </row>
    <row r="63">
      <c r="A63" s="1" t="s">
        <v>355</v>
      </c>
      <c r="B63" s="1" t="s">
        <v>943</v>
      </c>
      <c r="C63" s="1" t="s">
        <v>1398</v>
      </c>
      <c r="D63" s="1" t="s">
        <v>532</v>
      </c>
      <c r="E63" s="1" t="s">
        <v>645</v>
      </c>
      <c r="F63" s="1" t="s">
        <v>452</v>
      </c>
      <c r="G63" s="1" t="s">
        <v>646</v>
      </c>
      <c r="H63" s="1" t="s">
        <v>4</v>
      </c>
      <c r="I63" s="5"/>
    </row>
    <row r="64">
      <c r="A64" s="1" t="s">
        <v>355</v>
      </c>
      <c r="B64" s="1" t="s">
        <v>943</v>
      </c>
      <c r="C64" s="1" t="s">
        <v>1399</v>
      </c>
      <c r="D64" s="1" t="s">
        <v>515</v>
      </c>
      <c r="E64" s="1" t="s">
        <v>516</v>
      </c>
      <c r="F64" s="1" t="s">
        <v>543</v>
      </c>
      <c r="G64" s="1" t="s">
        <v>22</v>
      </c>
      <c r="H64" s="1" t="s">
        <v>4</v>
      </c>
      <c r="I64" s="5"/>
    </row>
    <row r="65">
      <c r="A65" s="1" t="s">
        <v>355</v>
      </c>
      <c r="B65" s="1" t="s">
        <v>943</v>
      </c>
      <c r="C65" s="1" t="s">
        <v>1400</v>
      </c>
      <c r="D65" s="1" t="s">
        <v>1401</v>
      </c>
      <c r="E65" s="1" t="s">
        <v>1402</v>
      </c>
      <c r="F65" s="1" t="s">
        <v>1403</v>
      </c>
      <c r="G65" s="1" t="s">
        <v>1404</v>
      </c>
      <c r="H65" s="1" t="s">
        <v>3</v>
      </c>
      <c r="I65" s="5"/>
    </row>
    <row r="66">
      <c r="A66" s="1" t="s">
        <v>355</v>
      </c>
      <c r="B66" s="1" t="s">
        <v>943</v>
      </c>
      <c r="C66" s="1" t="s">
        <v>1405</v>
      </c>
      <c r="D66" s="1">
        <v>0.0</v>
      </c>
      <c r="E66" s="1">
        <v>1.0</v>
      </c>
      <c r="F66" s="1">
        <v>2.0</v>
      </c>
      <c r="G66" s="1">
        <v>3.0</v>
      </c>
      <c r="H66" s="1" t="s">
        <v>4</v>
      </c>
      <c r="I66" s="5"/>
    </row>
    <row r="67">
      <c r="A67" s="1" t="s">
        <v>355</v>
      </c>
      <c r="B67" s="1" t="s">
        <v>943</v>
      </c>
      <c r="C67" s="1" t="s">
        <v>1406</v>
      </c>
      <c r="D67" s="1" t="s">
        <v>1407</v>
      </c>
      <c r="E67" s="1" t="s">
        <v>1408</v>
      </c>
      <c r="F67" s="1" t="s">
        <v>1409</v>
      </c>
      <c r="G67" s="1" t="s">
        <v>1410</v>
      </c>
      <c r="H67" s="1" t="s">
        <v>3</v>
      </c>
      <c r="I67" s="5"/>
    </row>
    <row r="68">
      <c r="A68" s="1" t="s">
        <v>355</v>
      </c>
      <c r="B68" s="1" t="s">
        <v>943</v>
      </c>
      <c r="C68" s="1" t="s">
        <v>1411</v>
      </c>
      <c r="D68" s="1" t="s">
        <v>1412</v>
      </c>
      <c r="E68" s="1" t="s">
        <v>1413</v>
      </c>
      <c r="F68" s="1" t="s">
        <v>1394</v>
      </c>
      <c r="G68" s="1" t="s">
        <v>1414</v>
      </c>
      <c r="H68" s="1" t="s">
        <v>3</v>
      </c>
      <c r="I68" s="5"/>
    </row>
    <row r="69">
      <c r="A69" s="1" t="s">
        <v>355</v>
      </c>
      <c r="B69" s="1" t="s">
        <v>943</v>
      </c>
      <c r="C69" s="1" t="s">
        <v>1415</v>
      </c>
      <c r="D69" s="1" t="s">
        <v>1416</v>
      </c>
      <c r="E69" s="1" t="s">
        <v>1417</v>
      </c>
      <c r="F69" s="4">
        <v>46058.0</v>
      </c>
      <c r="G69" s="1" t="s">
        <v>1418</v>
      </c>
      <c r="H69" s="1" t="s">
        <v>3</v>
      </c>
      <c r="I69" s="5"/>
    </row>
    <row r="70">
      <c r="A70" s="1" t="s">
        <v>355</v>
      </c>
      <c r="B70" s="1" t="s">
        <v>943</v>
      </c>
      <c r="C70" s="1" t="s">
        <v>1419</v>
      </c>
      <c r="D70" s="1" t="s">
        <v>1420</v>
      </c>
      <c r="E70" s="1" t="s">
        <v>1421</v>
      </c>
      <c r="F70" s="1" t="s">
        <v>1422</v>
      </c>
      <c r="G70" s="1" t="s">
        <v>1423</v>
      </c>
      <c r="H70" s="1" t="s">
        <v>4</v>
      </c>
      <c r="I70" s="5"/>
    </row>
    <row r="71">
      <c r="A71" s="1" t="s">
        <v>355</v>
      </c>
      <c r="B71" s="1" t="s">
        <v>943</v>
      </c>
      <c r="C71" s="1" t="s">
        <v>1424</v>
      </c>
      <c r="D71" s="1" t="s">
        <v>1425</v>
      </c>
      <c r="E71" s="1" t="s">
        <v>1426</v>
      </c>
      <c r="F71" s="1" t="s">
        <v>1427</v>
      </c>
      <c r="G71" s="1" t="s">
        <v>1428</v>
      </c>
      <c r="H71" s="1" t="s">
        <v>4</v>
      </c>
      <c r="I71" s="5"/>
    </row>
    <row r="72">
      <c r="A72" s="1" t="s">
        <v>355</v>
      </c>
      <c r="B72" s="1" t="s">
        <v>943</v>
      </c>
      <c r="C72" s="1" t="s">
        <v>1429</v>
      </c>
      <c r="D72" s="1" t="s">
        <v>1430</v>
      </c>
      <c r="E72" s="1" t="s">
        <v>1431</v>
      </c>
      <c r="F72" s="1" t="s">
        <v>1432</v>
      </c>
      <c r="G72" s="4">
        <v>46305.0</v>
      </c>
      <c r="H72" s="1" t="s">
        <v>3</v>
      </c>
      <c r="I72" s="5"/>
    </row>
    <row r="73">
      <c r="A73" s="1" t="s">
        <v>355</v>
      </c>
      <c r="B73" s="1" t="s">
        <v>943</v>
      </c>
      <c r="C73" s="1" t="s">
        <v>1433</v>
      </c>
      <c r="D73" s="1" t="s">
        <v>1434</v>
      </c>
      <c r="E73" s="1" t="s">
        <v>1435</v>
      </c>
      <c r="F73" s="1" t="s">
        <v>1436</v>
      </c>
      <c r="G73" s="1" t="s">
        <v>1437</v>
      </c>
      <c r="H73" s="1" t="s">
        <v>4</v>
      </c>
      <c r="I73" s="5"/>
    </row>
    <row r="74">
      <c r="A74" s="1" t="s">
        <v>355</v>
      </c>
      <c r="B74" s="1" t="s">
        <v>943</v>
      </c>
      <c r="C74" s="1" t="s">
        <v>1438</v>
      </c>
      <c r="D74" s="1" t="s">
        <v>1439</v>
      </c>
      <c r="E74" s="1" t="s">
        <v>1440</v>
      </c>
      <c r="F74" s="1" t="s">
        <v>1441</v>
      </c>
      <c r="G74" s="1" t="s">
        <v>1442</v>
      </c>
      <c r="H74" s="1" t="s">
        <v>3</v>
      </c>
      <c r="I74" s="5"/>
    </row>
    <row r="75">
      <c r="A75" s="1" t="s">
        <v>355</v>
      </c>
      <c r="B75" s="1" t="s">
        <v>943</v>
      </c>
      <c r="C75" s="1" t="s">
        <v>1443</v>
      </c>
      <c r="D75" s="1">
        <v>25.0</v>
      </c>
      <c r="E75" s="1">
        <v>24.0</v>
      </c>
      <c r="F75" s="1">
        <v>23.0</v>
      </c>
      <c r="G75" s="1">
        <v>49.0</v>
      </c>
      <c r="H75" s="1" t="s">
        <v>3</v>
      </c>
      <c r="I75" s="5"/>
    </row>
    <row r="76">
      <c r="A76" s="1" t="s">
        <v>355</v>
      </c>
      <c r="B76" s="1" t="s">
        <v>943</v>
      </c>
      <c r="C76" s="1" t="s">
        <v>1444</v>
      </c>
      <c r="D76" s="1" t="s">
        <v>682</v>
      </c>
      <c r="E76" s="1" t="s">
        <v>1248</v>
      </c>
      <c r="F76" s="1" t="s">
        <v>1445</v>
      </c>
      <c r="G76" s="1" t="s">
        <v>22</v>
      </c>
      <c r="H76" s="1" t="s">
        <v>4</v>
      </c>
      <c r="I76" s="5"/>
    </row>
    <row r="77">
      <c r="A77" s="1" t="s">
        <v>355</v>
      </c>
      <c r="B77" s="1" t="s">
        <v>943</v>
      </c>
      <c r="C77" s="1" t="s">
        <v>1446</v>
      </c>
      <c r="D77" s="1" t="s">
        <v>682</v>
      </c>
      <c r="E77" s="1" t="s">
        <v>1248</v>
      </c>
      <c r="F77" s="1" t="s">
        <v>1447</v>
      </c>
      <c r="G77" s="1" t="s">
        <v>20</v>
      </c>
      <c r="H77" s="1" t="s">
        <v>3</v>
      </c>
      <c r="I77" s="5"/>
    </row>
    <row r="78">
      <c r="A78" s="1" t="s">
        <v>355</v>
      </c>
      <c r="B78" s="1" t="s">
        <v>943</v>
      </c>
      <c r="C78" s="1" t="s">
        <v>1448</v>
      </c>
      <c r="D78" s="1" t="s">
        <v>1449</v>
      </c>
      <c r="E78" s="1" t="s">
        <v>1450</v>
      </c>
      <c r="F78" s="1" t="s">
        <v>1451</v>
      </c>
      <c r="G78" s="1" t="s">
        <v>1265</v>
      </c>
      <c r="H78" s="1" t="s">
        <v>3</v>
      </c>
      <c r="I78" s="5"/>
    </row>
    <row r="79">
      <c r="A79" s="1" t="s">
        <v>355</v>
      </c>
      <c r="B79" s="1" t="s">
        <v>943</v>
      </c>
      <c r="C79" s="1" t="s">
        <v>1452</v>
      </c>
      <c r="D79" s="1">
        <v>0.0</v>
      </c>
      <c r="E79" s="1">
        <v>6.0</v>
      </c>
      <c r="F79" s="1">
        <v>-6.0</v>
      </c>
      <c r="G79" s="1" t="s">
        <v>1453</v>
      </c>
      <c r="H79" s="1" t="s">
        <v>4</v>
      </c>
      <c r="I79" s="5"/>
    </row>
    <row r="80">
      <c r="A80" s="1" t="s">
        <v>355</v>
      </c>
      <c r="B80" s="1" t="s">
        <v>943</v>
      </c>
      <c r="C80" s="1" t="s">
        <v>1454</v>
      </c>
      <c r="D80" s="1" t="s">
        <v>71</v>
      </c>
      <c r="E80" s="1" t="s">
        <v>72</v>
      </c>
      <c r="F80" s="1" t="s">
        <v>720</v>
      </c>
      <c r="G80" s="1" t="s">
        <v>1455</v>
      </c>
      <c r="H80" s="1" t="s">
        <v>4</v>
      </c>
      <c r="I80" s="5"/>
    </row>
    <row r="81">
      <c r="A81" s="1" t="s">
        <v>355</v>
      </c>
      <c r="B81" s="1" t="s">
        <v>943</v>
      </c>
      <c r="C81" s="1" t="s">
        <v>1456</v>
      </c>
      <c r="D81" s="1">
        <v>4.0</v>
      </c>
      <c r="E81" s="1">
        <v>-4.0</v>
      </c>
      <c r="F81" s="1">
        <v>0.0</v>
      </c>
      <c r="G81" s="2">
        <v>46082.0</v>
      </c>
      <c r="H81" s="1" t="s">
        <v>5</v>
      </c>
      <c r="I81" s="5"/>
    </row>
    <row r="82">
      <c r="A82" s="1" t="s">
        <v>355</v>
      </c>
      <c r="B82" s="1" t="s">
        <v>943</v>
      </c>
      <c r="C82" s="1" t="s">
        <v>1457</v>
      </c>
      <c r="D82" s="1" t="s">
        <v>1458</v>
      </c>
      <c r="E82" s="1" t="s">
        <v>1459</v>
      </c>
      <c r="F82" s="1" t="s">
        <v>1460</v>
      </c>
      <c r="G82" s="1" t="s">
        <v>1461</v>
      </c>
      <c r="H82" s="1" t="s">
        <v>4</v>
      </c>
      <c r="I82" s="5"/>
    </row>
    <row r="83">
      <c r="A83" s="1" t="s">
        <v>355</v>
      </c>
      <c r="B83" s="1" t="s">
        <v>943</v>
      </c>
      <c r="C83" s="1" t="s">
        <v>1462</v>
      </c>
      <c r="D83" s="1" t="s">
        <v>1463</v>
      </c>
      <c r="E83" s="1" t="s">
        <v>1464</v>
      </c>
      <c r="F83" s="1" t="s">
        <v>1465</v>
      </c>
      <c r="G83" s="1" t="s">
        <v>1466</v>
      </c>
      <c r="H83" s="1" t="s">
        <v>4</v>
      </c>
      <c r="I83" s="5"/>
    </row>
    <row r="84">
      <c r="A84" s="1" t="s">
        <v>355</v>
      </c>
      <c r="B84" s="1" t="s">
        <v>943</v>
      </c>
      <c r="C84" s="1" t="s">
        <v>1467</v>
      </c>
      <c r="D84" s="1" t="s">
        <v>1468</v>
      </c>
      <c r="E84" s="1" t="s">
        <v>322</v>
      </c>
      <c r="F84" s="1" t="s">
        <v>1234</v>
      </c>
      <c r="G84" s="1" t="s">
        <v>19</v>
      </c>
      <c r="H84" s="1" t="s">
        <v>4</v>
      </c>
      <c r="I84" s="5"/>
    </row>
    <row r="85">
      <c r="A85" s="1" t="s">
        <v>355</v>
      </c>
      <c r="B85" s="1" t="s">
        <v>943</v>
      </c>
      <c r="C85" s="1" t="s">
        <v>1469</v>
      </c>
      <c r="D85" s="1" t="s">
        <v>682</v>
      </c>
      <c r="E85" s="1" t="s">
        <v>683</v>
      </c>
      <c r="F85" s="1" t="s">
        <v>1447</v>
      </c>
      <c r="G85" s="1" t="s">
        <v>22</v>
      </c>
      <c r="H85" s="1" t="s">
        <v>5</v>
      </c>
      <c r="I85" s="5"/>
    </row>
    <row r="86">
      <c r="A86" s="1" t="s">
        <v>355</v>
      </c>
      <c r="B86" s="1" t="s">
        <v>943</v>
      </c>
      <c r="C86" s="1" t="s">
        <v>1470</v>
      </c>
      <c r="D86" s="4">
        <v>46274.0</v>
      </c>
      <c r="E86" s="1" t="s">
        <v>1471</v>
      </c>
      <c r="F86" s="1" t="s">
        <v>1472</v>
      </c>
      <c r="G86" s="1" t="s">
        <v>1473</v>
      </c>
      <c r="H86" s="1" t="s">
        <v>3</v>
      </c>
      <c r="I86" s="5"/>
    </row>
    <row r="87">
      <c r="A87" s="1" t="s">
        <v>355</v>
      </c>
      <c r="B87" s="1" t="s">
        <v>943</v>
      </c>
      <c r="C87" s="1" t="s">
        <v>1474</v>
      </c>
      <c r="D87" s="1" t="s">
        <v>1475</v>
      </c>
      <c r="E87" s="1" t="s">
        <v>1476</v>
      </c>
      <c r="F87" s="1" t="s">
        <v>1477</v>
      </c>
      <c r="G87" s="1" t="s">
        <v>1478</v>
      </c>
      <c r="H87" s="1" t="s">
        <v>3</v>
      </c>
      <c r="I87" s="5"/>
    </row>
    <row r="88">
      <c r="A88" s="1" t="s">
        <v>355</v>
      </c>
      <c r="B88" s="1" t="s">
        <v>943</v>
      </c>
      <c r="C88" s="1" t="s">
        <v>1479</v>
      </c>
      <c r="D88" s="1" t="s">
        <v>1480</v>
      </c>
      <c r="E88" s="1" t="s">
        <v>1312</v>
      </c>
      <c r="F88" s="1" t="s">
        <v>1309</v>
      </c>
      <c r="G88" s="1" t="s">
        <v>1310</v>
      </c>
      <c r="H88" s="1" t="s">
        <v>3</v>
      </c>
      <c r="I88" s="5"/>
    </row>
    <row r="89">
      <c r="A89" s="1" t="s">
        <v>355</v>
      </c>
      <c r="B89" s="1" t="s">
        <v>943</v>
      </c>
      <c r="C89" s="1" t="s">
        <v>1481</v>
      </c>
      <c r="D89" s="1" t="s">
        <v>1264</v>
      </c>
      <c r="E89" s="1" t="s">
        <v>1450</v>
      </c>
      <c r="F89" s="1" t="s">
        <v>1482</v>
      </c>
      <c r="G89" s="1" t="s">
        <v>558</v>
      </c>
      <c r="H89" s="1" t="s">
        <v>4</v>
      </c>
      <c r="I89" s="5"/>
    </row>
    <row r="90">
      <c r="A90" s="1" t="s">
        <v>355</v>
      </c>
      <c r="B90" s="1" t="s">
        <v>943</v>
      </c>
      <c r="C90" s="1" t="s">
        <v>1483</v>
      </c>
      <c r="D90" s="4">
        <v>46084.0</v>
      </c>
      <c r="E90" s="1" t="s">
        <v>1484</v>
      </c>
      <c r="F90" s="1" t="s">
        <v>610</v>
      </c>
      <c r="G90" s="1" t="s">
        <v>1472</v>
      </c>
      <c r="H90" s="1" t="s">
        <v>5</v>
      </c>
      <c r="I90" s="5"/>
    </row>
    <row r="91">
      <c r="A91" s="1" t="s">
        <v>355</v>
      </c>
      <c r="B91" s="1" t="s">
        <v>943</v>
      </c>
      <c r="C91" s="1" t="s">
        <v>1485</v>
      </c>
      <c r="D91" s="1" t="s">
        <v>595</v>
      </c>
      <c r="E91" s="1" t="s">
        <v>596</v>
      </c>
      <c r="F91" s="4">
        <v>46054.0</v>
      </c>
      <c r="G91" s="1" t="s">
        <v>594</v>
      </c>
      <c r="H91" s="1" t="s">
        <v>4</v>
      </c>
      <c r="I91" s="5"/>
    </row>
    <row r="92">
      <c r="A92" s="1" t="s">
        <v>355</v>
      </c>
      <c r="B92" s="1" t="s">
        <v>943</v>
      </c>
      <c r="C92" s="1" t="s">
        <v>1486</v>
      </c>
      <c r="D92" s="1" t="s">
        <v>1487</v>
      </c>
      <c r="E92" s="1" t="s">
        <v>1453</v>
      </c>
      <c r="F92" s="4">
        <v>46179.0</v>
      </c>
      <c r="G92" s="1" t="s">
        <v>1488</v>
      </c>
      <c r="H92" s="1" t="s">
        <v>4</v>
      </c>
      <c r="I92" s="5"/>
    </row>
    <row r="93">
      <c r="A93" s="1" t="s">
        <v>355</v>
      </c>
      <c r="B93" s="1" t="s">
        <v>943</v>
      </c>
      <c r="C93" s="1" t="s">
        <v>1489</v>
      </c>
      <c r="D93" s="1" t="s">
        <v>556</v>
      </c>
      <c r="E93" s="1" t="s">
        <v>1265</v>
      </c>
      <c r="F93" s="1" t="s">
        <v>737</v>
      </c>
      <c r="G93" s="1" t="s">
        <v>1490</v>
      </c>
      <c r="H93" s="1" t="s">
        <v>3</v>
      </c>
      <c r="I93" s="5"/>
    </row>
    <row r="94">
      <c r="A94" s="1" t="s">
        <v>355</v>
      </c>
      <c r="B94" s="1" t="s">
        <v>943</v>
      </c>
      <c r="C94" s="1" t="s">
        <v>1491</v>
      </c>
      <c r="D94" s="2">
        <v>46145.0</v>
      </c>
      <c r="E94" s="2">
        <v>46086.0</v>
      </c>
      <c r="F94" s="1" t="s">
        <v>387</v>
      </c>
      <c r="G94" s="1" t="s">
        <v>388</v>
      </c>
      <c r="H94" s="1" t="s">
        <v>3</v>
      </c>
      <c r="I94" s="5"/>
    </row>
    <row r="95">
      <c r="A95" s="1" t="s">
        <v>355</v>
      </c>
      <c r="B95" s="1" t="s">
        <v>943</v>
      </c>
      <c r="C95" s="1" t="s">
        <v>1492</v>
      </c>
      <c r="D95" s="1" t="s">
        <v>1493</v>
      </c>
      <c r="E95" s="1" t="s">
        <v>1315</v>
      </c>
      <c r="F95" s="1" t="s">
        <v>1494</v>
      </c>
      <c r="G95" s="1" t="s">
        <v>1495</v>
      </c>
      <c r="H95" s="1" t="s">
        <v>3</v>
      </c>
      <c r="I95" s="5"/>
    </row>
    <row r="96">
      <c r="A96" s="1" t="s">
        <v>355</v>
      </c>
      <c r="B96" s="1" t="s">
        <v>943</v>
      </c>
      <c r="C96" s="1" t="s">
        <v>1496</v>
      </c>
      <c r="D96" s="1">
        <v>1.0</v>
      </c>
      <c r="E96" s="1">
        <v>-1.0</v>
      </c>
      <c r="F96" s="1">
        <v>2.0</v>
      </c>
      <c r="G96" s="1">
        <v>-2.0</v>
      </c>
      <c r="H96" s="1" t="s">
        <v>6</v>
      </c>
      <c r="I96" s="5"/>
    </row>
    <row r="97">
      <c r="A97" s="1" t="s">
        <v>355</v>
      </c>
      <c r="B97" s="1" t="s">
        <v>943</v>
      </c>
      <c r="C97" s="1" t="s">
        <v>1497</v>
      </c>
      <c r="D97" s="1">
        <v>2.0</v>
      </c>
      <c r="E97" s="1">
        <v>-2.0</v>
      </c>
      <c r="F97" s="1">
        <v>3.0</v>
      </c>
      <c r="G97" s="1">
        <v>-3.0</v>
      </c>
      <c r="H97" s="1" t="s">
        <v>4</v>
      </c>
      <c r="I97" s="5"/>
    </row>
    <row r="98">
      <c r="A98" s="1" t="s">
        <v>355</v>
      </c>
      <c r="B98" s="1" t="s">
        <v>943</v>
      </c>
      <c r="C98" s="1" t="s">
        <v>1498</v>
      </c>
      <c r="D98" s="1" t="s">
        <v>1319</v>
      </c>
      <c r="E98" s="1" t="s">
        <v>1499</v>
      </c>
      <c r="F98" s="1" t="s">
        <v>1319</v>
      </c>
      <c r="G98" s="1" t="s">
        <v>1500</v>
      </c>
      <c r="H98" s="1" t="s">
        <v>4</v>
      </c>
      <c r="I98" s="5"/>
    </row>
    <row r="99">
      <c r="A99" s="1" t="s">
        <v>355</v>
      </c>
      <c r="B99" s="1" t="s">
        <v>943</v>
      </c>
      <c r="C99" s="1" t="s">
        <v>1501</v>
      </c>
      <c r="D99" s="1">
        <v>0.0</v>
      </c>
      <c r="E99" s="1">
        <v>1.0</v>
      </c>
      <c r="F99" s="1">
        <v>2.0</v>
      </c>
      <c r="G99" s="1">
        <v>4.0</v>
      </c>
      <c r="H99" s="1" t="s">
        <v>3</v>
      </c>
      <c r="I99" s="5"/>
    </row>
    <row r="100">
      <c r="A100" s="1" t="s">
        <v>355</v>
      </c>
      <c r="B100" s="1" t="s">
        <v>943</v>
      </c>
      <c r="C100" s="1" t="s">
        <v>1502</v>
      </c>
      <c r="D100" s="1">
        <v>-4.0</v>
      </c>
      <c r="E100" s="1">
        <v>-8.0</v>
      </c>
      <c r="F100" s="1">
        <v>8.0</v>
      </c>
      <c r="G100" s="1">
        <v>4.0</v>
      </c>
      <c r="H100" s="1" t="s">
        <v>4</v>
      </c>
      <c r="I100" s="5"/>
    </row>
    <row r="101">
      <c r="A101" s="1" t="s">
        <v>355</v>
      </c>
      <c r="B101" s="1" t="s">
        <v>943</v>
      </c>
      <c r="C101" s="1" t="s">
        <v>1503</v>
      </c>
      <c r="D101" s="1" t="s">
        <v>1504</v>
      </c>
      <c r="E101" s="1" t="s">
        <v>1505</v>
      </c>
      <c r="F101" s="1" t="s">
        <v>1506</v>
      </c>
      <c r="G101" s="1" t="s">
        <v>1507</v>
      </c>
      <c r="H101" s="1" t="s">
        <v>3</v>
      </c>
      <c r="I101" s="5"/>
    </row>
    <row r="102">
      <c r="A102" s="1" t="s">
        <v>355</v>
      </c>
      <c r="B102" s="1" t="s">
        <v>943</v>
      </c>
      <c r="C102" s="1" t="s">
        <v>1508</v>
      </c>
      <c r="D102" s="1" t="s">
        <v>1504</v>
      </c>
      <c r="E102" s="1" t="s">
        <v>1505</v>
      </c>
      <c r="F102" s="1" t="s">
        <v>1506</v>
      </c>
      <c r="G102" s="1" t="s">
        <v>1509</v>
      </c>
      <c r="H102" s="1" t="s">
        <v>4</v>
      </c>
      <c r="I102" s="5"/>
    </row>
    <row r="103">
      <c r="A103" s="1" t="s">
        <v>355</v>
      </c>
      <c r="B103" s="1" t="s">
        <v>943</v>
      </c>
      <c r="C103" s="1" t="s">
        <v>1510</v>
      </c>
      <c r="D103" s="1" t="s">
        <v>1504</v>
      </c>
      <c r="E103" s="1" t="s">
        <v>1505</v>
      </c>
      <c r="F103" s="1" t="s">
        <v>1506</v>
      </c>
      <c r="G103" s="1" t="s">
        <v>837</v>
      </c>
      <c r="H103" s="1" t="s">
        <v>5</v>
      </c>
      <c r="I103" s="5"/>
    </row>
    <row r="104">
      <c r="A104" s="1" t="s">
        <v>355</v>
      </c>
      <c r="B104" s="1" t="s">
        <v>943</v>
      </c>
      <c r="C104" s="1" t="s">
        <v>1511</v>
      </c>
      <c r="D104" s="1">
        <v>3.0</v>
      </c>
      <c r="E104" s="1">
        <v>-3.0</v>
      </c>
      <c r="F104" s="1">
        <v>5.0</v>
      </c>
      <c r="G104" s="1">
        <v>0.0</v>
      </c>
      <c r="H104" s="1" t="s">
        <v>3</v>
      </c>
      <c r="I104" s="5"/>
    </row>
    <row r="105">
      <c r="A105" s="1" t="s">
        <v>355</v>
      </c>
      <c r="B105" s="1" t="s">
        <v>943</v>
      </c>
      <c r="C105" s="1" t="s">
        <v>1512</v>
      </c>
      <c r="D105" s="1" t="s">
        <v>1310</v>
      </c>
      <c r="E105" s="1" t="s">
        <v>1513</v>
      </c>
      <c r="F105" s="1" t="s">
        <v>1514</v>
      </c>
      <c r="G105" s="1" t="s">
        <v>1515</v>
      </c>
      <c r="H105" s="1" t="s">
        <v>5</v>
      </c>
      <c r="I105" s="5"/>
    </row>
    <row r="106">
      <c r="A106" s="1" t="s">
        <v>355</v>
      </c>
      <c r="B106" s="1" t="s">
        <v>943</v>
      </c>
      <c r="C106" s="1" t="s">
        <v>1516</v>
      </c>
      <c r="D106" s="1" t="s">
        <v>1517</v>
      </c>
      <c r="E106" s="1" t="s">
        <v>1518</v>
      </c>
      <c r="F106" s="1" t="s">
        <v>1519</v>
      </c>
      <c r="G106" s="1" t="s">
        <v>1520</v>
      </c>
      <c r="H106" s="1" t="s">
        <v>4</v>
      </c>
      <c r="I106" s="5"/>
    </row>
    <row r="107">
      <c r="A107" s="1" t="s">
        <v>355</v>
      </c>
      <c r="B107" s="1" t="s">
        <v>943</v>
      </c>
      <c r="C107" s="1" t="s">
        <v>1521</v>
      </c>
      <c r="D107" s="1" t="s">
        <v>1522</v>
      </c>
      <c r="E107" s="1" t="s">
        <v>1523</v>
      </c>
      <c r="F107" s="1" t="s">
        <v>1524</v>
      </c>
      <c r="G107" s="4">
        <v>46023.0</v>
      </c>
      <c r="H107" s="1" t="s">
        <v>4</v>
      </c>
      <c r="I107" s="5"/>
    </row>
    <row r="108">
      <c r="A108" s="1" t="s">
        <v>355</v>
      </c>
      <c r="B108" s="1" t="s">
        <v>943</v>
      </c>
      <c r="C108" s="1" t="s">
        <v>1525</v>
      </c>
      <c r="D108" s="4">
        <v>46083.0</v>
      </c>
      <c r="E108" s="1" t="s">
        <v>780</v>
      </c>
      <c r="F108" s="1" t="s">
        <v>781</v>
      </c>
      <c r="G108" s="1" t="s">
        <v>782</v>
      </c>
      <c r="H108" s="1" t="s">
        <v>4</v>
      </c>
      <c r="I108" s="5"/>
    </row>
    <row r="109">
      <c r="A109" s="1" t="s">
        <v>355</v>
      </c>
      <c r="B109" s="1" t="s">
        <v>943</v>
      </c>
      <c r="C109" s="1" t="s">
        <v>1526</v>
      </c>
      <c r="D109" s="1" t="s">
        <v>1527</v>
      </c>
      <c r="E109" s="1">
        <v>52.0</v>
      </c>
      <c r="F109" s="1" t="s">
        <v>1528</v>
      </c>
      <c r="G109" s="1">
        <v>12.0</v>
      </c>
      <c r="H109" s="1" t="s">
        <v>3</v>
      </c>
      <c r="I109" s="5"/>
    </row>
    <row r="110">
      <c r="A110" s="1" t="s">
        <v>355</v>
      </c>
      <c r="B110" s="1" t="s">
        <v>943</v>
      </c>
      <c r="C110" s="1" t="s">
        <v>1529</v>
      </c>
      <c r="D110" s="1">
        <v>16.0</v>
      </c>
      <c r="E110" s="1">
        <v>88.0</v>
      </c>
      <c r="F110" s="1">
        <v>56.0</v>
      </c>
      <c r="G110" s="1">
        <v>72.0</v>
      </c>
      <c r="H110" s="1" t="s">
        <v>4</v>
      </c>
      <c r="I110" s="5"/>
    </row>
    <row r="111">
      <c r="A111" s="1" t="s">
        <v>355</v>
      </c>
      <c r="B111" s="1" t="s">
        <v>943</v>
      </c>
      <c r="C111" s="1" t="s">
        <v>1530</v>
      </c>
      <c r="D111" s="1">
        <v>13.0</v>
      </c>
      <c r="E111" s="1">
        <v>25.0</v>
      </c>
      <c r="F111" s="1">
        <v>37.0</v>
      </c>
      <c r="G111" s="1">
        <v>12.0</v>
      </c>
      <c r="H111" s="1" t="s">
        <v>3</v>
      </c>
      <c r="I111" s="5"/>
    </row>
    <row r="112">
      <c r="A112" s="1" t="s">
        <v>355</v>
      </c>
      <c r="B112" s="1" t="s">
        <v>943</v>
      </c>
      <c r="C112" s="1" t="s">
        <v>1531</v>
      </c>
      <c r="D112" s="1" t="s">
        <v>1532</v>
      </c>
      <c r="E112" s="1" t="s">
        <v>1533</v>
      </c>
      <c r="F112" s="1" t="s">
        <v>1534</v>
      </c>
      <c r="G112" s="1" t="s">
        <v>1535</v>
      </c>
      <c r="H112" s="1" t="s">
        <v>3</v>
      </c>
      <c r="I112" s="5"/>
    </row>
    <row r="113">
      <c r="A113" s="1" t="s">
        <v>355</v>
      </c>
      <c r="B113" s="1" t="s">
        <v>943</v>
      </c>
      <c r="C113" s="1" t="s">
        <v>1536</v>
      </c>
      <c r="D113" s="4">
        <v>46152.0</v>
      </c>
      <c r="E113" s="1" t="s">
        <v>1537</v>
      </c>
      <c r="F113" s="4">
        <v>46215.0</v>
      </c>
      <c r="G113" s="4">
        <v>46089.0</v>
      </c>
      <c r="H113" s="1" t="s">
        <v>3</v>
      </c>
      <c r="I113" s="5"/>
    </row>
    <row r="114">
      <c r="A114" s="1" t="s">
        <v>355</v>
      </c>
      <c r="B114" s="1" t="s">
        <v>943</v>
      </c>
      <c r="C114" s="1" t="s">
        <v>1538</v>
      </c>
      <c r="D114" s="1">
        <v>3.0</v>
      </c>
      <c r="E114" s="2">
        <v>46082.0</v>
      </c>
      <c r="F114" s="1" t="s">
        <v>1539</v>
      </c>
      <c r="G114" s="1">
        <v>9.0</v>
      </c>
      <c r="H114" s="1" t="s">
        <v>5</v>
      </c>
      <c r="I114" s="5"/>
    </row>
    <row r="115">
      <c r="A115" s="1" t="s">
        <v>355</v>
      </c>
      <c r="B115" s="1" t="s">
        <v>943</v>
      </c>
      <c r="C115" s="1" t="s">
        <v>1540</v>
      </c>
      <c r="D115" s="1" t="s">
        <v>1541</v>
      </c>
      <c r="E115" s="1" t="s">
        <v>1542</v>
      </c>
      <c r="F115" s="1" t="s">
        <v>1543</v>
      </c>
      <c r="G115" s="1" t="s">
        <v>657</v>
      </c>
      <c r="H115" s="1" t="s">
        <v>3</v>
      </c>
      <c r="I115" s="5"/>
    </row>
    <row r="116">
      <c r="A116" s="1" t="s">
        <v>355</v>
      </c>
      <c r="B116" s="1" t="s">
        <v>943</v>
      </c>
      <c r="C116" s="1" t="s">
        <v>1544</v>
      </c>
      <c r="D116" s="1" t="s">
        <v>1545</v>
      </c>
      <c r="E116" s="1" t="s">
        <v>1546</v>
      </c>
      <c r="F116" s="1" t="s">
        <v>1547</v>
      </c>
      <c r="G116" s="1" t="s">
        <v>1548</v>
      </c>
      <c r="H116" s="1" t="s">
        <v>3</v>
      </c>
      <c r="I116" s="5"/>
    </row>
    <row r="117">
      <c r="A117" s="1" t="s">
        <v>355</v>
      </c>
      <c r="B117" s="1" t="s">
        <v>943</v>
      </c>
      <c r="C117" s="1" t="s">
        <v>1549</v>
      </c>
      <c r="D117" s="2">
        <v>46143.0</v>
      </c>
      <c r="E117" s="1" t="s">
        <v>831</v>
      </c>
      <c r="F117" s="1" t="s">
        <v>832</v>
      </c>
      <c r="G117" s="1" t="s">
        <v>502</v>
      </c>
      <c r="H117" s="1" t="s">
        <v>3</v>
      </c>
      <c r="I117" s="5"/>
    </row>
    <row r="118">
      <c r="A118" s="1" t="s">
        <v>355</v>
      </c>
      <c r="B118" s="1" t="s">
        <v>943</v>
      </c>
      <c r="C118" s="1" t="s">
        <v>1550</v>
      </c>
      <c r="D118" s="6">
        <v>0.3</v>
      </c>
      <c r="E118" s="6">
        <v>0.30416666666666664</v>
      </c>
      <c r="F118" s="1" t="s">
        <v>1551</v>
      </c>
      <c r="G118" s="1" t="s">
        <v>1552</v>
      </c>
      <c r="H118" s="1" t="s">
        <v>6</v>
      </c>
      <c r="I118" s="5"/>
    </row>
    <row r="119">
      <c r="A119" s="1" t="s">
        <v>355</v>
      </c>
      <c r="B119" s="1" t="s">
        <v>943</v>
      </c>
      <c r="C119" s="1" t="s">
        <v>1553</v>
      </c>
      <c r="D119" s="1" t="s">
        <v>1554</v>
      </c>
      <c r="E119" s="1" t="s">
        <v>1555</v>
      </c>
      <c r="F119" s="1" t="s">
        <v>1556</v>
      </c>
      <c r="G119" s="1" t="s">
        <v>1557</v>
      </c>
      <c r="H119" s="1" t="s">
        <v>3</v>
      </c>
      <c r="I119" s="5"/>
    </row>
    <row r="120">
      <c r="A120" s="1" t="s">
        <v>355</v>
      </c>
      <c r="B120" s="1" t="s">
        <v>943</v>
      </c>
      <c r="C120" s="1" t="s">
        <v>1558</v>
      </c>
      <c r="D120" s="1" t="s">
        <v>1559</v>
      </c>
      <c r="E120" s="1" t="s">
        <v>1560</v>
      </c>
      <c r="F120" s="1" t="s">
        <v>1561</v>
      </c>
      <c r="G120" s="1" t="s">
        <v>1562</v>
      </c>
      <c r="H120" s="1" t="s">
        <v>5</v>
      </c>
      <c r="I120" s="5"/>
    </row>
    <row r="121">
      <c r="A121" s="1" t="s">
        <v>355</v>
      </c>
      <c r="B121" s="1" t="s">
        <v>943</v>
      </c>
      <c r="C121" s="1" t="s">
        <v>1563</v>
      </c>
      <c r="D121" s="1" t="s">
        <v>1564</v>
      </c>
      <c r="E121" s="1" t="s">
        <v>1565</v>
      </c>
      <c r="F121" s="1" t="s">
        <v>1566</v>
      </c>
      <c r="G121" s="1" t="s">
        <v>1567</v>
      </c>
      <c r="H121" s="1" t="s">
        <v>3</v>
      </c>
      <c r="I121" s="5"/>
    </row>
    <row r="122">
      <c r="A122" s="1" t="s">
        <v>355</v>
      </c>
      <c r="B122" s="1" t="s">
        <v>943</v>
      </c>
      <c r="C122" s="1" t="s">
        <v>1568</v>
      </c>
      <c r="D122" s="1">
        <v>3.0</v>
      </c>
      <c r="E122" s="1">
        <v>3.5</v>
      </c>
      <c r="F122" s="1">
        <v>6.0</v>
      </c>
      <c r="G122" s="1">
        <v>-3.0</v>
      </c>
      <c r="H122" s="1" t="s">
        <v>3</v>
      </c>
      <c r="I122" s="5"/>
    </row>
    <row r="123">
      <c r="A123" s="1" t="s">
        <v>355</v>
      </c>
      <c r="B123" s="1" t="s">
        <v>943</v>
      </c>
      <c r="C123" s="1" t="s">
        <v>1569</v>
      </c>
      <c r="D123" s="1" t="s">
        <v>1570</v>
      </c>
      <c r="E123" s="1" t="s">
        <v>1571</v>
      </c>
      <c r="F123" s="1" t="s">
        <v>1561</v>
      </c>
      <c r="G123" s="1" t="s">
        <v>1572</v>
      </c>
      <c r="H123" s="1" t="s">
        <v>5</v>
      </c>
      <c r="I123" s="5"/>
    </row>
    <row r="124">
      <c r="A124" s="1" t="s">
        <v>355</v>
      </c>
      <c r="B124" s="1" t="s">
        <v>943</v>
      </c>
      <c r="C124" s="1" t="s">
        <v>1573</v>
      </c>
      <c r="D124" s="1" t="s">
        <v>1386</v>
      </c>
      <c r="E124" s="1" t="s">
        <v>1387</v>
      </c>
      <c r="F124" s="1" t="s">
        <v>1388</v>
      </c>
      <c r="G124" s="1" t="s">
        <v>1389</v>
      </c>
      <c r="H124" s="1" t="s">
        <v>3</v>
      </c>
      <c r="I124" s="5"/>
    </row>
    <row r="125">
      <c r="A125" s="1" t="s">
        <v>355</v>
      </c>
      <c r="B125" s="1" t="s">
        <v>943</v>
      </c>
      <c r="C125" s="1" t="s">
        <v>1574</v>
      </c>
      <c r="D125" s="1" t="s">
        <v>1575</v>
      </c>
      <c r="E125" s="1" t="s">
        <v>1576</v>
      </c>
      <c r="F125" s="1" t="s">
        <v>1577</v>
      </c>
      <c r="G125" s="1" t="s">
        <v>1578</v>
      </c>
      <c r="H125" s="1" t="s">
        <v>3</v>
      </c>
      <c r="I125" s="5"/>
    </row>
    <row r="126">
      <c r="A126" s="1" t="s">
        <v>355</v>
      </c>
      <c r="B126" s="1" t="s">
        <v>943</v>
      </c>
      <c r="C126" s="1" t="s">
        <v>1579</v>
      </c>
      <c r="D126" s="1" t="s">
        <v>1580</v>
      </c>
      <c r="E126" s="1" t="s">
        <v>1581</v>
      </c>
      <c r="F126" s="1" t="s">
        <v>1582</v>
      </c>
      <c r="G126" s="4">
        <v>46084.0</v>
      </c>
      <c r="H126" s="1" t="s">
        <v>3</v>
      </c>
      <c r="I126" s="5"/>
    </row>
    <row r="127">
      <c r="A127" s="1" t="s">
        <v>355</v>
      </c>
      <c r="B127" s="1" t="s">
        <v>943</v>
      </c>
      <c r="C127" s="1" t="s">
        <v>1583</v>
      </c>
      <c r="D127" s="1" t="s">
        <v>1584</v>
      </c>
      <c r="E127" s="1" t="s">
        <v>1585</v>
      </c>
      <c r="F127" s="1" t="s">
        <v>1586</v>
      </c>
      <c r="G127" s="4">
        <v>46087.0</v>
      </c>
      <c r="H127" s="1" t="s">
        <v>3</v>
      </c>
      <c r="I127" s="5"/>
    </row>
    <row r="128">
      <c r="A128" s="1" t="s">
        <v>355</v>
      </c>
      <c r="B128" s="1" t="s">
        <v>943</v>
      </c>
      <c r="C128" s="1" t="s">
        <v>1587</v>
      </c>
      <c r="D128" s="1" t="s">
        <v>1588</v>
      </c>
      <c r="E128" s="1" t="s">
        <v>1589</v>
      </c>
      <c r="F128" s="1" t="s">
        <v>1590</v>
      </c>
      <c r="G128" s="1" t="s">
        <v>1591</v>
      </c>
      <c r="H128" s="1" t="s">
        <v>3</v>
      </c>
      <c r="I128" s="5"/>
    </row>
    <row r="129">
      <c r="A129" s="1" t="s">
        <v>355</v>
      </c>
      <c r="B129" s="1" t="s">
        <v>943</v>
      </c>
      <c r="C129" s="1" t="s">
        <v>1592</v>
      </c>
      <c r="D129" s="1" t="s">
        <v>1593</v>
      </c>
      <c r="E129" s="1" t="s">
        <v>1594</v>
      </c>
      <c r="F129" s="4">
        <v>46085.0</v>
      </c>
      <c r="G129" s="1" t="s">
        <v>1595</v>
      </c>
      <c r="H129" s="1" t="s">
        <v>3</v>
      </c>
      <c r="I129" s="5"/>
    </row>
    <row r="130">
      <c r="A130" s="1" t="s">
        <v>355</v>
      </c>
      <c r="B130" s="1" t="s">
        <v>943</v>
      </c>
      <c r="C130" s="1" t="s">
        <v>1596</v>
      </c>
      <c r="D130" s="1" t="s">
        <v>1597</v>
      </c>
      <c r="E130" s="1" t="s">
        <v>1598</v>
      </c>
      <c r="F130" s="1" t="s">
        <v>1599</v>
      </c>
      <c r="G130" s="1" t="s">
        <v>1600</v>
      </c>
      <c r="H130" s="1" t="s">
        <v>3</v>
      </c>
      <c r="I130" s="5"/>
    </row>
    <row r="131">
      <c r="A131" s="1" t="s">
        <v>355</v>
      </c>
      <c r="B131" s="1" t="s">
        <v>943</v>
      </c>
      <c r="C131" s="1" t="s">
        <v>1601</v>
      </c>
      <c r="D131" s="1">
        <v>12.0</v>
      </c>
      <c r="E131" s="1">
        <v>13.0</v>
      </c>
      <c r="F131" s="1">
        <v>11.0</v>
      </c>
      <c r="G131" s="1">
        <v>14.0</v>
      </c>
      <c r="H131" s="1" t="s">
        <v>3</v>
      </c>
      <c r="I131" s="5"/>
    </row>
    <row r="132">
      <c r="A132" s="1" t="s">
        <v>355</v>
      </c>
      <c r="B132" s="1" t="s">
        <v>943</v>
      </c>
      <c r="C132" s="1" t="s">
        <v>1602</v>
      </c>
      <c r="D132" s="1">
        <v>4.0</v>
      </c>
      <c r="E132" s="1">
        <v>-4.0</v>
      </c>
      <c r="F132" s="1" t="s">
        <v>1265</v>
      </c>
      <c r="G132" s="1">
        <v>16.0</v>
      </c>
      <c r="H132" s="1" t="s">
        <v>5</v>
      </c>
      <c r="I132" s="5"/>
    </row>
    <row r="133">
      <c r="A133" s="1" t="s">
        <v>355</v>
      </c>
      <c r="B133" s="1" t="s">
        <v>943</v>
      </c>
      <c r="C133" s="1" t="s">
        <v>1603</v>
      </c>
      <c r="D133" s="1">
        <v>0.0</v>
      </c>
      <c r="E133" s="1">
        <v>1.0</v>
      </c>
      <c r="F133" s="1">
        <v>2.0</v>
      </c>
      <c r="G133" s="1">
        <v>4.0</v>
      </c>
      <c r="H133" s="1" t="s">
        <v>3</v>
      </c>
      <c r="I133" s="5"/>
    </row>
    <row r="134">
      <c r="A134" s="1" t="s">
        <v>355</v>
      </c>
      <c r="B134" s="1" t="s">
        <v>943</v>
      </c>
      <c r="C134" s="1" t="s">
        <v>1604</v>
      </c>
      <c r="D134" s="1">
        <v>6.0</v>
      </c>
      <c r="E134" s="1">
        <v>-6.0</v>
      </c>
      <c r="F134" s="1">
        <v>2.0</v>
      </c>
      <c r="G134" s="1">
        <v>-2.0</v>
      </c>
      <c r="H134" s="1" t="s">
        <v>3</v>
      </c>
      <c r="I134" s="5"/>
    </row>
    <row r="135">
      <c r="A135" s="1" t="s">
        <v>355</v>
      </c>
      <c r="B135" s="1" t="s">
        <v>943</v>
      </c>
      <c r="C135" s="1" t="s">
        <v>1605</v>
      </c>
      <c r="D135" s="1">
        <v>2.0</v>
      </c>
      <c r="E135" s="1">
        <v>1.0</v>
      </c>
      <c r="F135" s="1">
        <v>0.0</v>
      </c>
      <c r="G135" s="1">
        <v>-1.0</v>
      </c>
      <c r="H135" s="1" t="s">
        <v>3</v>
      </c>
      <c r="I135" s="5"/>
    </row>
    <row r="136">
      <c r="A136" s="1" t="s">
        <v>355</v>
      </c>
      <c r="B136" s="1" t="s">
        <v>943</v>
      </c>
      <c r="C136" s="1" t="s">
        <v>1606</v>
      </c>
      <c r="D136" s="1" t="s">
        <v>1607</v>
      </c>
      <c r="E136" s="1" t="s">
        <v>1608</v>
      </c>
      <c r="F136" s="1" t="s">
        <v>1609</v>
      </c>
      <c r="G136" s="1" t="s">
        <v>1610</v>
      </c>
      <c r="H136" s="1" t="s">
        <v>3</v>
      </c>
      <c r="I136" s="5"/>
    </row>
    <row r="137">
      <c r="A137" s="1" t="s">
        <v>355</v>
      </c>
      <c r="B137" s="1" t="s">
        <v>943</v>
      </c>
      <c r="C137" s="1" t="s">
        <v>1611</v>
      </c>
      <c r="D137" s="1" t="s">
        <v>1612</v>
      </c>
      <c r="E137" s="1" t="s">
        <v>1613</v>
      </c>
      <c r="F137" s="1" t="s">
        <v>1614</v>
      </c>
      <c r="G137" s="1" t="s">
        <v>1615</v>
      </c>
      <c r="H137" s="1" t="s">
        <v>3</v>
      </c>
      <c r="I137" s="5"/>
    </row>
    <row r="138">
      <c r="A138" s="1" t="s">
        <v>355</v>
      </c>
      <c r="B138" s="1" t="s">
        <v>943</v>
      </c>
      <c r="C138" s="1" t="s">
        <v>1616</v>
      </c>
      <c r="D138" s="1" t="s">
        <v>1617</v>
      </c>
      <c r="E138" s="1" t="s">
        <v>1618</v>
      </c>
      <c r="F138" s="4">
        <v>46147.0</v>
      </c>
      <c r="G138" s="1" t="s">
        <v>1619</v>
      </c>
      <c r="H138" s="1" t="s">
        <v>3</v>
      </c>
      <c r="I138" s="5"/>
    </row>
    <row r="139">
      <c r="A139" s="1" t="s">
        <v>355</v>
      </c>
      <c r="B139" s="1" t="s">
        <v>943</v>
      </c>
      <c r="C139" s="1" t="s">
        <v>1620</v>
      </c>
      <c r="D139" s="1" t="s">
        <v>1621</v>
      </c>
      <c r="E139" s="1" t="s">
        <v>1622</v>
      </c>
      <c r="F139" s="1" t="s">
        <v>1623</v>
      </c>
      <c r="G139" s="1" t="s">
        <v>1624</v>
      </c>
      <c r="H139" s="1" t="s">
        <v>3</v>
      </c>
      <c r="I139" s="5"/>
    </row>
    <row r="140">
      <c r="A140" s="1" t="s">
        <v>355</v>
      </c>
      <c r="B140" s="1" t="s">
        <v>943</v>
      </c>
      <c r="C140" s="1" t="s">
        <v>1625</v>
      </c>
      <c r="D140" s="4">
        <v>46178.0</v>
      </c>
      <c r="E140" s="1" t="s">
        <v>1626</v>
      </c>
      <c r="F140" s="1" t="s">
        <v>1627</v>
      </c>
      <c r="G140" s="1" t="s">
        <v>1628</v>
      </c>
      <c r="H140" s="1" t="s">
        <v>3</v>
      </c>
      <c r="I140" s="5"/>
    </row>
    <row r="141">
      <c r="A141" s="1" t="s">
        <v>355</v>
      </c>
      <c r="B141" s="1" t="s">
        <v>943</v>
      </c>
      <c r="C141" s="1" t="s">
        <v>1629</v>
      </c>
      <c r="D141" s="1" t="s">
        <v>1630</v>
      </c>
      <c r="E141" s="1" t="s">
        <v>1631</v>
      </c>
      <c r="F141" s="1" t="s">
        <v>1632</v>
      </c>
      <c r="G141" s="1" t="s">
        <v>1633</v>
      </c>
      <c r="H141" s="1" t="s">
        <v>3</v>
      </c>
      <c r="I141" s="5"/>
    </row>
    <row r="142">
      <c r="A142" s="1" t="s">
        <v>355</v>
      </c>
      <c r="B142" s="1" t="s">
        <v>943</v>
      </c>
      <c r="C142" s="1" t="s">
        <v>1634</v>
      </c>
      <c r="D142" s="1" t="s">
        <v>1248</v>
      </c>
      <c r="E142" s="1" t="s">
        <v>682</v>
      </c>
      <c r="F142" s="1" t="s">
        <v>1447</v>
      </c>
      <c r="G142" s="1" t="s">
        <v>22</v>
      </c>
      <c r="H142" s="1" t="s">
        <v>3</v>
      </c>
      <c r="I142" s="5"/>
    </row>
    <row r="143">
      <c r="A143" s="1" t="s">
        <v>355</v>
      </c>
      <c r="B143" s="1" t="s">
        <v>943</v>
      </c>
      <c r="C143" s="1" t="s">
        <v>1635</v>
      </c>
      <c r="D143" s="1" t="s">
        <v>682</v>
      </c>
      <c r="E143" s="1" t="s">
        <v>1248</v>
      </c>
      <c r="F143" s="1" t="s">
        <v>1447</v>
      </c>
      <c r="G143" s="1" t="s">
        <v>22</v>
      </c>
      <c r="H143" s="1" t="s">
        <v>3</v>
      </c>
      <c r="I143" s="5"/>
    </row>
    <row r="144">
      <c r="A144" s="1" t="s">
        <v>355</v>
      </c>
      <c r="B144" s="1" t="s">
        <v>943</v>
      </c>
      <c r="C144" s="1" t="s">
        <v>1636</v>
      </c>
      <c r="D144" s="1">
        <v>144.0</v>
      </c>
      <c r="E144" s="1">
        <v>16.0</v>
      </c>
      <c r="F144" s="1">
        <v>64.0</v>
      </c>
      <c r="G144" s="1">
        <v>80.0</v>
      </c>
      <c r="H144" s="1" t="s">
        <v>3</v>
      </c>
      <c r="I144" s="5"/>
    </row>
    <row r="145">
      <c r="A145" s="1" t="s">
        <v>355</v>
      </c>
      <c r="B145" s="1" t="s">
        <v>943</v>
      </c>
      <c r="C145" s="1" t="s">
        <v>1637</v>
      </c>
      <c r="D145" s="1" t="s">
        <v>1638</v>
      </c>
      <c r="E145" s="4">
        <v>46147.0</v>
      </c>
      <c r="F145" s="1" t="s">
        <v>1639</v>
      </c>
      <c r="G145" s="4">
        <v>46047.0</v>
      </c>
      <c r="H145" s="1" t="s">
        <v>3</v>
      </c>
      <c r="I145" s="5"/>
    </row>
    <row r="146">
      <c r="A146" s="1" t="s">
        <v>355</v>
      </c>
      <c r="B146" s="1" t="s">
        <v>943</v>
      </c>
      <c r="C146" s="1" t="s">
        <v>1640</v>
      </c>
      <c r="D146" s="1" t="s">
        <v>1641</v>
      </c>
      <c r="E146" s="1" t="s">
        <v>1642</v>
      </c>
      <c r="F146" s="1" t="s">
        <v>1643</v>
      </c>
      <c r="G146" s="1" t="s">
        <v>1644</v>
      </c>
      <c r="H146" s="1" t="s">
        <v>3</v>
      </c>
      <c r="I146" s="5"/>
    </row>
    <row r="147">
      <c r="A147" s="1" t="s">
        <v>355</v>
      </c>
      <c r="B147" s="1" t="s">
        <v>943</v>
      </c>
      <c r="C147" s="1" t="s">
        <v>1645</v>
      </c>
      <c r="D147" s="1">
        <v>1.0</v>
      </c>
      <c r="E147" s="1">
        <v>2.0</v>
      </c>
      <c r="F147" s="1">
        <v>0.0</v>
      </c>
      <c r="G147" s="1">
        <v>-1.0</v>
      </c>
      <c r="H147" s="1" t="s">
        <v>3</v>
      </c>
      <c r="I147" s="5"/>
    </row>
    <row r="148">
      <c r="A148" s="1" t="s">
        <v>355</v>
      </c>
      <c r="B148" s="1" t="s">
        <v>943</v>
      </c>
      <c r="C148" s="1" t="s">
        <v>1646</v>
      </c>
      <c r="D148" s="1" t="s">
        <v>72</v>
      </c>
      <c r="E148" s="1" t="s">
        <v>71</v>
      </c>
      <c r="F148" s="1" t="s">
        <v>720</v>
      </c>
      <c r="G148" s="1" t="s">
        <v>1647</v>
      </c>
      <c r="H148" s="1" t="s">
        <v>3</v>
      </c>
      <c r="I148" s="5"/>
    </row>
    <row r="149">
      <c r="A149" s="1" t="s">
        <v>355</v>
      </c>
      <c r="B149" s="1" t="s">
        <v>943</v>
      </c>
      <c r="C149" s="1" t="s">
        <v>1648</v>
      </c>
      <c r="D149" s="1" t="s">
        <v>1265</v>
      </c>
      <c r="E149" s="1">
        <v>4.0</v>
      </c>
      <c r="F149" s="1">
        <v>-4.0</v>
      </c>
      <c r="G149" s="1">
        <v>16.0</v>
      </c>
      <c r="H149" s="1" t="s">
        <v>3</v>
      </c>
      <c r="I149" s="5"/>
    </row>
    <row r="150">
      <c r="A150" s="1" t="s">
        <v>355</v>
      </c>
      <c r="B150" s="1" t="s">
        <v>943</v>
      </c>
      <c r="C150" s="1" t="s">
        <v>1649</v>
      </c>
      <c r="D150" s="1" t="s">
        <v>1650</v>
      </c>
      <c r="E150" s="1" t="s">
        <v>1490</v>
      </c>
      <c r="F150" s="4">
        <v>46116.0</v>
      </c>
      <c r="G150" s="1" t="s">
        <v>574</v>
      </c>
      <c r="H150" s="1" t="s">
        <v>3</v>
      </c>
      <c r="I150" s="5"/>
    </row>
    <row r="151">
      <c r="A151" s="1" t="s">
        <v>355</v>
      </c>
      <c r="B151" s="1" t="s">
        <v>943</v>
      </c>
      <c r="C151" s="1" t="s">
        <v>1651</v>
      </c>
      <c r="D151" s="1" t="s">
        <v>1652</v>
      </c>
      <c r="E151" s="1" t="s">
        <v>1653</v>
      </c>
      <c r="F151" s="1" t="s">
        <v>1654</v>
      </c>
      <c r="G151" s="1" t="s">
        <v>1655</v>
      </c>
      <c r="H151" s="1" t="s">
        <v>3</v>
      </c>
      <c r="I151" s="5"/>
    </row>
    <row r="152">
      <c r="A152" s="1" t="s">
        <v>355</v>
      </c>
      <c r="B152" s="1" t="s">
        <v>943</v>
      </c>
      <c r="C152" s="1" t="s">
        <v>1656</v>
      </c>
      <c r="D152" s="4">
        <v>46206.0</v>
      </c>
      <c r="E152" s="1" t="s">
        <v>1657</v>
      </c>
      <c r="F152" s="1" t="s">
        <v>1658</v>
      </c>
      <c r="G152" s="1" t="s">
        <v>1659</v>
      </c>
      <c r="H152" s="1" t="s">
        <v>3</v>
      </c>
      <c r="I152" s="5"/>
    </row>
    <row r="153">
      <c r="A153" s="1" t="s">
        <v>355</v>
      </c>
      <c r="B153" s="1" t="s">
        <v>943</v>
      </c>
      <c r="C153" s="1" t="s">
        <v>1660</v>
      </c>
      <c r="D153" s="1" t="s">
        <v>1661</v>
      </c>
      <c r="E153" s="1" t="s">
        <v>1662</v>
      </c>
      <c r="F153" s="1" t="s">
        <v>1663</v>
      </c>
      <c r="G153" s="1" t="s">
        <v>1664</v>
      </c>
      <c r="H153" s="1" t="s">
        <v>3</v>
      </c>
      <c r="I153" s="5"/>
    </row>
    <row r="154">
      <c r="A154" s="1" t="s">
        <v>355</v>
      </c>
      <c r="B154" s="1" t="s">
        <v>943</v>
      </c>
      <c r="C154" s="1" t="s">
        <v>1665</v>
      </c>
      <c r="D154" s="1" t="s">
        <v>1666</v>
      </c>
      <c r="E154" s="1" t="s">
        <v>1667</v>
      </c>
      <c r="F154" s="1" t="s">
        <v>1668</v>
      </c>
      <c r="G154" s="1" t="s">
        <v>1669</v>
      </c>
      <c r="H154" s="1" t="s">
        <v>3</v>
      </c>
      <c r="I154" s="5"/>
    </row>
    <row r="155">
      <c r="A155" s="1" t="s">
        <v>355</v>
      </c>
      <c r="B155" s="1" t="s">
        <v>943</v>
      </c>
      <c r="C155" s="1" t="s">
        <v>1670</v>
      </c>
      <c r="D155" s="1" t="s">
        <v>1397</v>
      </c>
      <c r="E155" s="1" t="s">
        <v>943</v>
      </c>
      <c r="F155" s="1" t="s">
        <v>1396</v>
      </c>
      <c r="G155" s="1" t="s">
        <v>22</v>
      </c>
      <c r="H155" s="1" t="s">
        <v>3</v>
      </c>
      <c r="I155" s="5"/>
    </row>
    <row r="156">
      <c r="A156" s="1" t="s">
        <v>355</v>
      </c>
      <c r="B156" s="1" t="s">
        <v>943</v>
      </c>
      <c r="C156" s="1" t="s">
        <v>1671</v>
      </c>
      <c r="D156" s="1" t="s">
        <v>1672</v>
      </c>
      <c r="E156" s="1" t="s">
        <v>9</v>
      </c>
      <c r="F156" s="1" t="s">
        <v>1261</v>
      </c>
      <c r="G156" s="1" t="s">
        <v>21</v>
      </c>
      <c r="H156" s="1" t="s">
        <v>3</v>
      </c>
      <c r="I156" s="5"/>
    </row>
    <row r="157">
      <c r="A157" s="1" t="s">
        <v>355</v>
      </c>
      <c r="B157" s="1" t="s">
        <v>943</v>
      </c>
      <c r="C157" s="1" t="s">
        <v>1673</v>
      </c>
      <c r="D157" s="1" t="s">
        <v>1674</v>
      </c>
      <c r="E157" s="2">
        <v>46206.0</v>
      </c>
      <c r="F157" s="2">
        <v>46088.0</v>
      </c>
      <c r="G157" s="1" t="s">
        <v>758</v>
      </c>
      <c r="H157" s="1" t="s">
        <v>3</v>
      </c>
      <c r="I157" s="5"/>
    </row>
    <row r="158">
      <c r="A158" s="1" t="s">
        <v>355</v>
      </c>
      <c r="B158" s="1" t="s">
        <v>943</v>
      </c>
      <c r="C158" s="1" t="s">
        <v>1675</v>
      </c>
      <c r="D158" s="1" t="s">
        <v>1676</v>
      </c>
      <c r="E158" s="1" t="s">
        <v>1677</v>
      </c>
      <c r="F158" s="4">
        <v>46119.0</v>
      </c>
      <c r="G158" s="1" t="s">
        <v>1678</v>
      </c>
      <c r="H158" s="1" t="s">
        <v>3</v>
      </c>
      <c r="I158" s="5"/>
    </row>
    <row r="159">
      <c r="A159" s="1" t="s">
        <v>355</v>
      </c>
      <c r="B159" s="1" t="s">
        <v>943</v>
      </c>
      <c r="C159" s="1" t="s">
        <v>1679</v>
      </c>
      <c r="D159" s="1" t="s">
        <v>1680</v>
      </c>
      <c r="E159" s="1" t="s">
        <v>1681</v>
      </c>
      <c r="F159" s="1" t="s">
        <v>1682</v>
      </c>
      <c r="G159" s="1" t="s">
        <v>1683</v>
      </c>
      <c r="H159" s="1" t="s">
        <v>3</v>
      </c>
      <c r="I159" s="5"/>
    </row>
    <row r="160">
      <c r="A160" s="1" t="s">
        <v>355</v>
      </c>
      <c r="B160" s="1" t="s">
        <v>943</v>
      </c>
      <c r="C160" s="1" t="s">
        <v>1684</v>
      </c>
      <c r="D160" s="1" t="s">
        <v>1685</v>
      </c>
      <c r="E160" s="1" t="s">
        <v>1686</v>
      </c>
      <c r="F160" s="1" t="s">
        <v>1687</v>
      </c>
      <c r="G160" s="1" t="s">
        <v>1688</v>
      </c>
      <c r="H160" s="1" t="s">
        <v>3</v>
      </c>
      <c r="I16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1689</v>
      </c>
      <c r="B2" s="1" t="s">
        <v>1690</v>
      </c>
      <c r="C2" s="1" t="s">
        <v>1691</v>
      </c>
      <c r="D2" s="1" t="s">
        <v>1692</v>
      </c>
      <c r="E2" s="1" t="s">
        <v>1693</v>
      </c>
      <c r="F2" s="1" t="s">
        <v>1694</v>
      </c>
      <c r="G2" s="1" t="s">
        <v>1695</v>
      </c>
      <c r="H2" s="1" t="s">
        <v>6</v>
      </c>
    </row>
    <row r="3">
      <c r="A3" s="1" t="s">
        <v>1689</v>
      </c>
      <c r="B3" s="1" t="s">
        <v>1690</v>
      </c>
      <c r="C3" s="1" t="s">
        <v>1696</v>
      </c>
      <c r="D3" s="1">
        <v>97.0</v>
      </c>
      <c r="E3" s="1">
        <v>77.0</v>
      </c>
      <c r="F3" s="1">
        <v>-77.0</v>
      </c>
      <c r="G3" s="1">
        <v>-87.0</v>
      </c>
      <c r="H3" s="1" t="s">
        <v>5</v>
      </c>
    </row>
    <row r="4">
      <c r="A4" s="1" t="s">
        <v>1689</v>
      </c>
      <c r="B4" s="1" t="s">
        <v>1690</v>
      </c>
      <c r="C4" s="1" t="s">
        <v>1697</v>
      </c>
      <c r="D4" s="1">
        <v>28.0</v>
      </c>
      <c r="E4" s="1">
        <v>22.0</v>
      </c>
      <c r="F4" s="1">
        <v>-38.0</v>
      </c>
      <c r="G4" s="1" t="s">
        <v>1698</v>
      </c>
      <c r="H4" s="1" t="s">
        <v>4</v>
      </c>
    </row>
    <row r="5">
      <c r="A5" s="1" t="s">
        <v>1689</v>
      </c>
      <c r="B5" s="1" t="s">
        <v>1690</v>
      </c>
      <c r="C5" s="1" t="s">
        <v>1699</v>
      </c>
      <c r="D5" s="1" t="s">
        <v>1700</v>
      </c>
      <c r="E5" s="1" t="s">
        <v>1701</v>
      </c>
      <c r="F5" s="1" t="s">
        <v>1702</v>
      </c>
      <c r="G5" s="1" t="s">
        <v>1703</v>
      </c>
      <c r="H5" s="1" t="s">
        <v>3</v>
      </c>
    </row>
    <row r="6">
      <c r="A6" s="1" t="s">
        <v>1689</v>
      </c>
      <c r="B6" s="1" t="s">
        <v>1690</v>
      </c>
      <c r="C6" s="1" t="s">
        <v>1704</v>
      </c>
      <c r="D6" s="1">
        <v>4.0</v>
      </c>
      <c r="E6" s="1">
        <v>-4.0</v>
      </c>
      <c r="F6" s="1">
        <v>3.0</v>
      </c>
      <c r="G6" s="1">
        <v>-6.0</v>
      </c>
      <c r="H6" s="1" t="s">
        <v>3</v>
      </c>
    </row>
    <row r="7">
      <c r="A7" s="1" t="s">
        <v>1689</v>
      </c>
      <c r="B7" s="1" t="s">
        <v>1690</v>
      </c>
      <c r="C7" s="1" t="s">
        <v>1705</v>
      </c>
      <c r="D7" s="1" t="s">
        <v>1706</v>
      </c>
      <c r="E7" s="1" t="s">
        <v>1707</v>
      </c>
      <c r="F7" s="1" t="s">
        <v>1708</v>
      </c>
      <c r="G7" s="1" t="s">
        <v>1709</v>
      </c>
      <c r="H7" s="1" t="s">
        <v>4</v>
      </c>
    </row>
    <row r="8">
      <c r="A8" s="1" t="s">
        <v>1689</v>
      </c>
      <c r="B8" s="1" t="s">
        <v>1690</v>
      </c>
      <c r="C8" s="1" t="s">
        <v>1710</v>
      </c>
      <c r="D8" s="1">
        <v>-25.0</v>
      </c>
      <c r="E8" s="1">
        <v>25.0</v>
      </c>
      <c r="F8" s="1">
        <v>-17.0</v>
      </c>
      <c r="G8" s="1">
        <v>17.0</v>
      </c>
      <c r="H8" s="1" t="s">
        <v>3</v>
      </c>
    </row>
    <row r="9">
      <c r="A9" s="1" t="s">
        <v>1689</v>
      </c>
      <c r="B9" s="1" t="s">
        <v>1690</v>
      </c>
      <c r="C9" s="1" t="s">
        <v>1711</v>
      </c>
      <c r="D9" s="1">
        <v>5.0</v>
      </c>
      <c r="E9" s="1">
        <v>-5.0</v>
      </c>
      <c r="F9" s="1">
        <v>12.0</v>
      </c>
      <c r="G9" s="1">
        <v>0.0</v>
      </c>
      <c r="H9" s="1" t="s">
        <v>4</v>
      </c>
    </row>
    <row r="10">
      <c r="A10" s="1" t="s">
        <v>1689</v>
      </c>
      <c r="B10" s="1" t="s">
        <v>1690</v>
      </c>
      <c r="C10" s="1" t="s">
        <v>1712</v>
      </c>
      <c r="D10" s="1" t="s">
        <v>1713</v>
      </c>
      <c r="E10" s="1" t="s">
        <v>1714</v>
      </c>
      <c r="F10" s="1" t="s">
        <v>1715</v>
      </c>
      <c r="G10" s="1" t="s">
        <v>1716</v>
      </c>
      <c r="H10" s="1" t="s">
        <v>6</v>
      </c>
    </row>
    <row r="11">
      <c r="A11" s="1" t="s">
        <v>1689</v>
      </c>
      <c r="B11" s="1" t="s">
        <v>1690</v>
      </c>
      <c r="C11" s="1" t="s">
        <v>1717</v>
      </c>
      <c r="D11" s="1">
        <v>7.0</v>
      </c>
      <c r="E11" s="1">
        <v>13.0</v>
      </c>
      <c r="F11" s="1">
        <v>15.0</v>
      </c>
      <c r="G11" s="1">
        <v>21.0</v>
      </c>
      <c r="H11" s="1" t="s">
        <v>5</v>
      </c>
    </row>
    <row r="12">
      <c r="A12" s="1" t="s">
        <v>1689</v>
      </c>
      <c r="B12" s="1" t="s">
        <v>1690</v>
      </c>
      <c r="C12" s="1" t="s">
        <v>1718</v>
      </c>
      <c r="D12" s="1" t="s">
        <v>1719</v>
      </c>
      <c r="E12" s="1" t="s">
        <v>1720</v>
      </c>
      <c r="F12" s="1" t="s">
        <v>1721</v>
      </c>
      <c r="G12" s="1" t="s">
        <v>1722</v>
      </c>
      <c r="H12" s="1" t="s">
        <v>6</v>
      </c>
    </row>
    <row r="13">
      <c r="A13" s="1" t="s">
        <v>1689</v>
      </c>
      <c r="B13" s="1" t="s">
        <v>1690</v>
      </c>
      <c r="C13" s="1" t="s">
        <v>1723</v>
      </c>
      <c r="D13" s="1">
        <v>3.0</v>
      </c>
      <c r="E13" s="1">
        <v>2.0</v>
      </c>
      <c r="F13" s="1">
        <v>1.0</v>
      </c>
      <c r="G13" s="1">
        <v>4.0</v>
      </c>
      <c r="H13" s="1" t="s">
        <v>3</v>
      </c>
    </row>
    <row r="14">
      <c r="A14" s="1" t="s">
        <v>1689</v>
      </c>
      <c r="B14" s="1" t="s">
        <v>1690</v>
      </c>
      <c r="C14" s="1" t="s">
        <v>1724</v>
      </c>
      <c r="D14" s="1">
        <v>45.0</v>
      </c>
      <c r="E14" s="1">
        <v>47.0</v>
      </c>
      <c r="F14" s="1">
        <v>49.0</v>
      </c>
      <c r="G14" s="1">
        <v>50.0</v>
      </c>
      <c r="H14" s="1" t="s">
        <v>4</v>
      </c>
    </row>
    <row r="15">
      <c r="A15" s="1" t="s">
        <v>1689</v>
      </c>
      <c r="B15" s="1" t="s">
        <v>1690</v>
      </c>
      <c r="C15" s="1" t="s">
        <v>1725</v>
      </c>
      <c r="D15" s="1">
        <v>600.0</v>
      </c>
      <c r="E15" s="1">
        <v>625.0</v>
      </c>
      <c r="F15" s="1">
        <v>500.0</v>
      </c>
      <c r="G15" s="1">
        <v>400.0</v>
      </c>
      <c r="H15" s="1" t="s">
        <v>4</v>
      </c>
    </row>
    <row r="16">
      <c r="A16" s="1" t="s">
        <v>1689</v>
      </c>
      <c r="B16" s="1" t="s">
        <v>1690</v>
      </c>
      <c r="C16" s="1" t="s">
        <v>1726</v>
      </c>
      <c r="D16" s="1">
        <v>-979.0</v>
      </c>
      <c r="E16" s="1">
        <v>-900.0</v>
      </c>
      <c r="F16" s="1">
        <v>979.0</v>
      </c>
      <c r="G16" s="1">
        <v>-879.0</v>
      </c>
      <c r="H16" s="1" t="s">
        <v>3</v>
      </c>
    </row>
    <row r="17">
      <c r="A17" s="1" t="s">
        <v>1689</v>
      </c>
      <c r="B17" s="1" t="s">
        <v>1690</v>
      </c>
      <c r="C17" s="1" t="s">
        <v>1727</v>
      </c>
      <c r="D17" s="1" t="s">
        <v>1728</v>
      </c>
      <c r="E17" s="1" t="s">
        <v>1729</v>
      </c>
      <c r="F17" s="1" t="s">
        <v>1730</v>
      </c>
      <c r="G17" s="1" t="s">
        <v>1731</v>
      </c>
      <c r="H17" s="1" t="s">
        <v>3</v>
      </c>
    </row>
    <row r="18">
      <c r="A18" s="1" t="s">
        <v>1689</v>
      </c>
      <c r="B18" s="1" t="s">
        <v>1690</v>
      </c>
      <c r="C18" s="1" t="s">
        <v>1732</v>
      </c>
      <c r="D18" s="1">
        <v>25.0</v>
      </c>
      <c r="E18" s="1">
        <v>29.0</v>
      </c>
      <c r="F18" s="1">
        <v>30.0</v>
      </c>
      <c r="G18" s="1">
        <v>31.0</v>
      </c>
      <c r="H18" s="1" t="s">
        <v>5</v>
      </c>
    </row>
    <row r="19">
      <c r="A19" s="1" t="s">
        <v>1689</v>
      </c>
      <c r="B19" s="1" t="s">
        <v>1690</v>
      </c>
      <c r="C19" s="1" t="s">
        <v>1733</v>
      </c>
      <c r="D19" s="1">
        <v>153.0</v>
      </c>
      <c r="E19" s="1">
        <v>158.0</v>
      </c>
      <c r="F19" s="1">
        <v>163.0</v>
      </c>
      <c r="G19" s="1">
        <v>148.0</v>
      </c>
      <c r="H19" s="1" t="s">
        <v>4</v>
      </c>
    </row>
    <row r="20">
      <c r="A20" s="1" t="s">
        <v>1689</v>
      </c>
      <c r="B20" s="1" t="s">
        <v>1690</v>
      </c>
      <c r="C20" s="1" t="s">
        <v>1734</v>
      </c>
      <c r="D20" s="1" t="s">
        <v>1735</v>
      </c>
      <c r="E20" s="1" t="s">
        <v>1736</v>
      </c>
      <c r="F20" s="1" t="s">
        <v>1737</v>
      </c>
      <c r="G20" s="1" t="s">
        <v>1700</v>
      </c>
      <c r="H20" s="1" t="s">
        <v>4</v>
      </c>
    </row>
    <row r="21">
      <c r="A21" s="1" t="s">
        <v>1689</v>
      </c>
      <c r="B21" s="1" t="s">
        <v>1690</v>
      </c>
      <c r="C21" s="1" t="s">
        <v>1738</v>
      </c>
      <c r="D21" s="1">
        <v>1.0</v>
      </c>
      <c r="E21" s="1">
        <v>2.0</v>
      </c>
      <c r="F21" s="1">
        <v>3.0</v>
      </c>
      <c r="G21" s="1">
        <v>7.0</v>
      </c>
      <c r="H21" s="1" t="s">
        <v>3</v>
      </c>
    </row>
    <row r="22">
      <c r="A22" s="1" t="s">
        <v>1689</v>
      </c>
      <c r="B22" s="1" t="s">
        <v>1690</v>
      </c>
      <c r="C22" s="1" t="s">
        <v>1739</v>
      </c>
      <c r="D22" s="1">
        <v>4.0</v>
      </c>
      <c r="E22" s="1">
        <v>6.0</v>
      </c>
      <c r="F22" s="1">
        <v>2.0</v>
      </c>
      <c r="G22" s="1">
        <v>8.0</v>
      </c>
      <c r="H22" s="1" t="s">
        <v>4</v>
      </c>
    </row>
    <row r="23">
      <c r="A23" s="1" t="s">
        <v>1689</v>
      </c>
      <c r="B23" s="1" t="s">
        <v>1690</v>
      </c>
      <c r="C23" s="1" t="s">
        <v>1740</v>
      </c>
      <c r="D23" s="1" t="s">
        <v>1741</v>
      </c>
      <c r="E23" s="1" t="s">
        <v>1742</v>
      </c>
      <c r="F23" s="1" t="s">
        <v>1743</v>
      </c>
      <c r="G23" s="1" t="s">
        <v>1744</v>
      </c>
      <c r="H23" s="1" t="s">
        <v>3</v>
      </c>
    </row>
    <row r="24">
      <c r="A24" s="1" t="s">
        <v>1689</v>
      </c>
      <c r="B24" s="1" t="s">
        <v>1690</v>
      </c>
      <c r="C24" s="1" t="s">
        <v>1745</v>
      </c>
      <c r="D24" s="1">
        <v>41.0</v>
      </c>
      <c r="E24" s="1">
        <v>-41.0</v>
      </c>
      <c r="F24" s="1">
        <v>40.0</v>
      </c>
      <c r="G24" s="1">
        <v>-36.0</v>
      </c>
      <c r="H24" s="1" t="s">
        <v>4</v>
      </c>
    </row>
    <row r="25">
      <c r="A25" s="1" t="s">
        <v>1689</v>
      </c>
      <c r="B25" s="1" t="s">
        <v>1690</v>
      </c>
      <c r="C25" s="1" t="s">
        <v>1746</v>
      </c>
      <c r="D25" s="1">
        <v>2.0</v>
      </c>
      <c r="E25" s="1">
        <v>-2.0</v>
      </c>
      <c r="F25" s="1">
        <v>6.0</v>
      </c>
      <c r="G25" s="1">
        <v>-6.0</v>
      </c>
      <c r="H25" s="1" t="s">
        <v>4</v>
      </c>
    </row>
    <row r="26">
      <c r="A26" s="1" t="s">
        <v>1689</v>
      </c>
      <c r="B26" s="1" t="s">
        <v>1690</v>
      </c>
      <c r="C26" s="1" t="s">
        <v>1747</v>
      </c>
      <c r="D26" s="1">
        <v>50.0</v>
      </c>
      <c r="E26" s="1">
        <v>100.0</v>
      </c>
      <c r="F26" s="1">
        <v>81.0</v>
      </c>
      <c r="G26" s="1">
        <v>121.0</v>
      </c>
      <c r="H26" s="1" t="s">
        <v>4</v>
      </c>
    </row>
    <row r="27">
      <c r="A27" s="1" t="s">
        <v>1689</v>
      </c>
      <c r="B27" s="1" t="s">
        <v>1690</v>
      </c>
      <c r="C27" s="1" t="s">
        <v>1748</v>
      </c>
      <c r="D27" s="1">
        <v>3.0</v>
      </c>
      <c r="E27" s="1">
        <v>4.0</v>
      </c>
      <c r="F27" s="1">
        <v>2.0</v>
      </c>
      <c r="G27" s="1">
        <v>1.0</v>
      </c>
      <c r="H27" s="1" t="s">
        <v>4</v>
      </c>
    </row>
    <row r="28">
      <c r="A28" s="1" t="s">
        <v>1689</v>
      </c>
      <c r="B28" s="1" t="s">
        <v>1690</v>
      </c>
      <c r="C28" s="1" t="s">
        <v>1749</v>
      </c>
      <c r="D28" s="1">
        <v>50.0</v>
      </c>
      <c r="E28" s="1">
        <v>47.0</v>
      </c>
      <c r="F28" s="1">
        <v>45.0</v>
      </c>
      <c r="G28" s="1">
        <v>48.0</v>
      </c>
      <c r="H28" s="1" t="s">
        <v>4</v>
      </c>
    </row>
    <row r="29">
      <c r="A29" s="1" t="s">
        <v>1689</v>
      </c>
      <c r="B29" s="1" t="s">
        <v>1690</v>
      </c>
      <c r="C29" s="1" t="s">
        <v>1750</v>
      </c>
      <c r="D29" s="1">
        <v>4050.0</v>
      </c>
      <c r="E29" s="1">
        <v>5050.0</v>
      </c>
      <c r="F29" s="1">
        <v>5000.0</v>
      </c>
      <c r="G29" s="1">
        <v>5500.0</v>
      </c>
      <c r="H29" s="1" t="s">
        <v>4</v>
      </c>
    </row>
    <row r="30">
      <c r="A30" s="1" t="s">
        <v>1689</v>
      </c>
      <c r="B30" s="1" t="s">
        <v>1690</v>
      </c>
      <c r="C30" s="1" t="s">
        <v>1751</v>
      </c>
      <c r="D30" s="1" t="s">
        <v>1702</v>
      </c>
      <c r="E30" s="1" t="s">
        <v>1703</v>
      </c>
      <c r="F30" s="1" t="s">
        <v>1752</v>
      </c>
      <c r="G30" s="1" t="s">
        <v>1719</v>
      </c>
      <c r="H30" s="1" t="s">
        <v>4</v>
      </c>
    </row>
    <row r="31">
      <c r="A31" s="1" t="s">
        <v>1689</v>
      </c>
      <c r="B31" s="1" t="s">
        <v>1690</v>
      </c>
      <c r="C31" s="1" t="s">
        <v>1753</v>
      </c>
      <c r="D31" s="1">
        <v>11.0</v>
      </c>
      <c r="E31" s="1">
        <v>13.0</v>
      </c>
      <c r="F31" s="1">
        <v>15.0</v>
      </c>
      <c r="G31" s="1">
        <v>17.0</v>
      </c>
      <c r="H31" s="1" t="s">
        <v>4</v>
      </c>
    </row>
    <row r="32">
      <c r="A32" s="1" t="s">
        <v>1689</v>
      </c>
      <c r="B32" s="1" t="s">
        <v>1690</v>
      </c>
      <c r="C32" s="1" t="s">
        <v>1754</v>
      </c>
      <c r="D32" s="1">
        <v>1.1</v>
      </c>
      <c r="E32" s="1">
        <v>1.0</v>
      </c>
      <c r="F32" s="1">
        <v>0.9</v>
      </c>
      <c r="G32" s="1">
        <v>2.1</v>
      </c>
      <c r="H32" s="1" t="s">
        <v>3</v>
      </c>
    </row>
    <row r="33">
      <c r="A33" s="1" t="s">
        <v>1689</v>
      </c>
      <c r="B33" s="1" t="s">
        <v>1690</v>
      </c>
      <c r="C33" s="1" t="s">
        <v>1755</v>
      </c>
      <c r="D33" s="1">
        <v>1.0</v>
      </c>
      <c r="E33" s="1">
        <v>2.0</v>
      </c>
      <c r="F33" s="1">
        <v>3.0</v>
      </c>
      <c r="G33" s="1" t="s">
        <v>1756</v>
      </c>
      <c r="H33" s="1" t="s">
        <v>6</v>
      </c>
    </row>
    <row r="34">
      <c r="A34" s="1" t="s">
        <v>1689</v>
      </c>
      <c r="B34" s="1" t="s">
        <v>1690</v>
      </c>
      <c r="C34" s="1" t="s">
        <v>1757</v>
      </c>
      <c r="D34" s="1">
        <v>960.0</v>
      </c>
      <c r="E34" s="1">
        <v>900.0</v>
      </c>
      <c r="F34" s="1">
        <v>1000.0</v>
      </c>
      <c r="G34" s="1">
        <v>1120.0</v>
      </c>
      <c r="H34" s="1" t="s">
        <v>3</v>
      </c>
    </row>
    <row r="35">
      <c r="A35" s="1" t="s">
        <v>1689</v>
      </c>
      <c r="B35" s="1" t="s">
        <v>1690</v>
      </c>
      <c r="C35" s="1" t="s">
        <v>1758</v>
      </c>
      <c r="D35" s="1" t="s">
        <v>1759</v>
      </c>
      <c r="E35" s="1" t="s">
        <v>1760</v>
      </c>
      <c r="F35" s="1" t="s">
        <v>1761</v>
      </c>
      <c r="G35" s="1" t="s">
        <v>1762</v>
      </c>
      <c r="H35" s="1" t="s">
        <v>5</v>
      </c>
    </row>
    <row r="36">
      <c r="A36" s="1" t="s">
        <v>1689</v>
      </c>
      <c r="B36" s="1" t="s">
        <v>1690</v>
      </c>
      <c r="C36" s="1" t="s">
        <v>1763</v>
      </c>
      <c r="D36" s="2">
        <v>46054.0</v>
      </c>
      <c r="E36" s="2">
        <v>46149.0</v>
      </c>
      <c r="F36" s="2">
        <v>46148.0</v>
      </c>
      <c r="G36" s="2">
        <v>46151.0</v>
      </c>
      <c r="H36" s="1" t="s">
        <v>4</v>
      </c>
    </row>
    <row r="37">
      <c r="A37" s="1" t="s">
        <v>1689</v>
      </c>
      <c r="B37" s="1" t="s">
        <v>1690</v>
      </c>
      <c r="C37" s="1" t="s">
        <v>1764</v>
      </c>
      <c r="D37" s="1">
        <v>27.0</v>
      </c>
      <c r="E37" s="1">
        <v>30.0</v>
      </c>
      <c r="F37" s="1">
        <v>-27.0</v>
      </c>
      <c r="G37" s="1">
        <v>33.0</v>
      </c>
      <c r="H37" s="1" t="s">
        <v>3</v>
      </c>
    </row>
    <row r="38">
      <c r="A38" s="1" t="s">
        <v>1689</v>
      </c>
      <c r="B38" s="1" t="s">
        <v>1690</v>
      </c>
      <c r="C38" s="1" t="s">
        <v>1765</v>
      </c>
      <c r="D38" s="1">
        <v>25.0</v>
      </c>
      <c r="E38" s="1">
        <v>30.0</v>
      </c>
      <c r="F38" s="1">
        <v>29.0</v>
      </c>
      <c r="G38" s="1">
        <v>31.0</v>
      </c>
      <c r="H38" s="1" t="s">
        <v>4</v>
      </c>
    </row>
    <row r="39">
      <c r="A39" s="1" t="s">
        <v>1689</v>
      </c>
      <c r="B39" s="1" t="s">
        <v>1690</v>
      </c>
      <c r="C39" s="1" t="s">
        <v>1766</v>
      </c>
      <c r="D39" s="1">
        <v>41.0</v>
      </c>
      <c r="E39" s="1">
        <v>39.0</v>
      </c>
      <c r="F39" s="1">
        <v>43.0</v>
      </c>
      <c r="G39" s="1">
        <v>45.0</v>
      </c>
      <c r="H39" s="1" t="s">
        <v>3</v>
      </c>
    </row>
    <row r="40">
      <c r="A40" s="1" t="s">
        <v>1689</v>
      </c>
      <c r="B40" s="1" t="s">
        <v>1690</v>
      </c>
      <c r="C40" s="1" t="s">
        <v>1767</v>
      </c>
      <c r="D40" s="1" t="s">
        <v>1701</v>
      </c>
      <c r="E40" s="1" t="s">
        <v>1702</v>
      </c>
      <c r="F40" s="1" t="s">
        <v>1703</v>
      </c>
      <c r="G40" s="1" t="s">
        <v>1752</v>
      </c>
      <c r="H40" s="1" t="s">
        <v>4</v>
      </c>
    </row>
    <row r="41">
      <c r="A41" s="1" t="s">
        <v>1689</v>
      </c>
      <c r="B41" s="1" t="s">
        <v>1690</v>
      </c>
      <c r="C41" s="1" t="s">
        <v>1768</v>
      </c>
      <c r="D41" s="1" t="s">
        <v>1769</v>
      </c>
      <c r="E41" s="1" t="s">
        <v>1770</v>
      </c>
      <c r="F41" s="1" t="s">
        <v>1771</v>
      </c>
      <c r="G41" s="1" t="s">
        <v>1772</v>
      </c>
      <c r="H41" s="1" t="s">
        <v>4</v>
      </c>
    </row>
    <row r="42">
      <c r="A42" s="1" t="s">
        <v>1689</v>
      </c>
      <c r="B42" s="1" t="s">
        <v>1690</v>
      </c>
      <c r="C42" s="1" t="s">
        <v>1773</v>
      </c>
      <c r="D42" s="1">
        <v>20100.0</v>
      </c>
      <c r="E42" s="1">
        <v>20000.0</v>
      </c>
      <c r="F42" s="1">
        <v>19900.0</v>
      </c>
      <c r="G42" s="1">
        <v>21000.0</v>
      </c>
      <c r="H42" s="1" t="s">
        <v>3</v>
      </c>
    </row>
    <row r="43">
      <c r="A43" s="1" t="s">
        <v>1689</v>
      </c>
      <c r="B43" s="1" t="s">
        <v>1690</v>
      </c>
      <c r="C43" s="1" t="s">
        <v>1774</v>
      </c>
      <c r="D43" s="1">
        <v>28.0</v>
      </c>
      <c r="E43" s="1">
        <v>29.0</v>
      </c>
      <c r="F43" s="1">
        <v>30.0</v>
      </c>
      <c r="G43" s="1">
        <v>31.0</v>
      </c>
      <c r="H43" s="1" t="s">
        <v>4</v>
      </c>
    </row>
    <row r="44">
      <c r="A44" s="1" t="s">
        <v>1689</v>
      </c>
      <c r="B44" s="1" t="s">
        <v>1690</v>
      </c>
      <c r="C44" s="1" t="s">
        <v>1775</v>
      </c>
      <c r="D44" s="1">
        <v>15.0</v>
      </c>
      <c r="E44" s="1">
        <v>20.0</v>
      </c>
      <c r="F44" s="1">
        <v>25.0</v>
      </c>
      <c r="G44" s="1">
        <v>30.0</v>
      </c>
      <c r="H44" s="1" t="s">
        <v>5</v>
      </c>
    </row>
    <row r="45">
      <c r="A45" s="1" t="s">
        <v>1689</v>
      </c>
      <c r="B45" s="1" t="s">
        <v>1690</v>
      </c>
      <c r="C45" s="1" t="s">
        <v>1776</v>
      </c>
      <c r="D45" s="1" t="s">
        <v>223</v>
      </c>
      <c r="E45" s="1" t="s">
        <v>1777</v>
      </c>
      <c r="F45" s="1">
        <v>2.0</v>
      </c>
      <c r="G45" s="1">
        <v>3.0</v>
      </c>
      <c r="H45" s="1" t="s">
        <v>3</v>
      </c>
    </row>
    <row r="46">
      <c r="A46" s="1" t="s">
        <v>1689</v>
      </c>
      <c r="B46" s="1" t="s">
        <v>1690</v>
      </c>
      <c r="C46" s="1" t="s">
        <v>1778</v>
      </c>
      <c r="D46" s="1">
        <v>3.0</v>
      </c>
      <c r="E46" s="1">
        <v>4.0</v>
      </c>
      <c r="F46" s="1">
        <v>5.0</v>
      </c>
      <c r="G46" s="1">
        <v>2.0</v>
      </c>
      <c r="H46" s="1" t="s">
        <v>4</v>
      </c>
    </row>
    <row r="47">
      <c r="A47" s="1" t="s">
        <v>1689</v>
      </c>
      <c r="B47" s="1" t="s">
        <v>1690</v>
      </c>
      <c r="C47" s="1" t="s">
        <v>1779</v>
      </c>
      <c r="D47" s="1" t="s">
        <v>1703</v>
      </c>
      <c r="E47" s="1" t="s">
        <v>1752</v>
      </c>
      <c r="F47" s="1" t="s">
        <v>1719</v>
      </c>
      <c r="G47" s="1" t="s">
        <v>1720</v>
      </c>
      <c r="H47" s="1" t="s">
        <v>5</v>
      </c>
    </row>
    <row r="48">
      <c r="A48" s="1" t="s">
        <v>1689</v>
      </c>
      <c r="B48" s="1" t="s">
        <v>1690</v>
      </c>
      <c r="C48" s="1" t="s">
        <v>1780</v>
      </c>
      <c r="D48" s="1">
        <v>4.0</v>
      </c>
      <c r="E48" s="1">
        <v>10.0</v>
      </c>
      <c r="F48" s="1">
        <v>14.0</v>
      </c>
      <c r="G48" s="1">
        <v>7.0</v>
      </c>
      <c r="H48" s="1" t="s">
        <v>4</v>
      </c>
    </row>
    <row r="49">
      <c r="A49" s="1" t="s">
        <v>1689</v>
      </c>
      <c r="B49" s="1" t="s">
        <v>1690</v>
      </c>
      <c r="C49" s="1" t="s">
        <v>1781</v>
      </c>
      <c r="D49" s="1">
        <v>56.0</v>
      </c>
      <c r="E49" s="1">
        <v>66.0</v>
      </c>
      <c r="F49" s="1">
        <v>60.0</v>
      </c>
      <c r="G49" s="1">
        <v>70.0</v>
      </c>
      <c r="H49" s="1" t="s">
        <v>4</v>
      </c>
    </row>
    <row r="50">
      <c r="A50" s="1" t="s">
        <v>1689</v>
      </c>
      <c r="B50" s="1" t="s">
        <v>1690</v>
      </c>
      <c r="C50" s="1" t="s">
        <v>1782</v>
      </c>
      <c r="D50" s="1">
        <v>3.0</v>
      </c>
      <c r="E50" s="1">
        <v>0.0</v>
      </c>
      <c r="F50" s="1">
        <v>6.0</v>
      </c>
      <c r="G50" s="1">
        <v>-3.0</v>
      </c>
      <c r="H50" s="1" t="s">
        <v>3</v>
      </c>
    </row>
    <row r="51">
      <c r="A51" s="1" t="s">
        <v>1689</v>
      </c>
      <c r="B51" s="1" t="s">
        <v>1690</v>
      </c>
      <c r="C51" s="1" t="s">
        <v>1783</v>
      </c>
      <c r="D51" s="1" t="s">
        <v>1784</v>
      </c>
      <c r="E51" s="1" t="s">
        <v>1716</v>
      </c>
      <c r="F51" s="1" t="s">
        <v>1785</v>
      </c>
      <c r="G51" s="1" t="s">
        <v>1786</v>
      </c>
      <c r="H51" s="1" t="s">
        <v>3</v>
      </c>
    </row>
    <row r="52">
      <c r="A52" s="1" t="s">
        <v>1689</v>
      </c>
      <c r="B52" s="1" t="s">
        <v>1690</v>
      </c>
      <c r="C52" s="1" t="s">
        <v>1787</v>
      </c>
      <c r="D52" s="1">
        <v>-979.0</v>
      </c>
      <c r="E52" s="1">
        <v>-900.0</v>
      </c>
      <c r="F52" s="1">
        <v>979.0</v>
      </c>
      <c r="G52" s="1">
        <v>-897.0</v>
      </c>
      <c r="H52" s="1" t="s">
        <v>3</v>
      </c>
    </row>
    <row r="53">
      <c r="A53" s="1" t="s">
        <v>1689</v>
      </c>
      <c r="B53" s="1" t="s">
        <v>1690</v>
      </c>
      <c r="C53" s="1" t="s">
        <v>1788</v>
      </c>
      <c r="D53" s="1" t="s">
        <v>1737</v>
      </c>
      <c r="E53" s="1" t="s">
        <v>1700</v>
      </c>
      <c r="F53" s="1" t="s">
        <v>1701</v>
      </c>
      <c r="G53" s="1" t="s">
        <v>1736</v>
      </c>
      <c r="H53" s="1" t="s">
        <v>4</v>
      </c>
    </row>
    <row r="54">
      <c r="A54" s="1" t="s">
        <v>1689</v>
      </c>
      <c r="B54" s="1" t="s">
        <v>1690</v>
      </c>
      <c r="C54" s="1" t="s">
        <v>1789</v>
      </c>
      <c r="D54" s="1">
        <v>15.0</v>
      </c>
      <c r="E54" s="1">
        <v>16.0</v>
      </c>
      <c r="F54" s="1">
        <v>17.0</v>
      </c>
      <c r="G54" s="1">
        <v>18.0</v>
      </c>
      <c r="H54" s="1" t="s">
        <v>4</v>
      </c>
    </row>
    <row r="55">
      <c r="A55" s="1" t="s">
        <v>1689</v>
      </c>
      <c r="B55" s="1" t="s">
        <v>1690</v>
      </c>
      <c r="C55" s="1" t="s">
        <v>1790</v>
      </c>
      <c r="D55" s="1">
        <v>45.0</v>
      </c>
      <c r="E55" s="1">
        <v>55.0</v>
      </c>
      <c r="F55" s="1">
        <v>65.0</v>
      </c>
      <c r="G55" s="1">
        <v>75.0</v>
      </c>
      <c r="H55" s="1" t="s">
        <v>3</v>
      </c>
    </row>
    <row r="56">
      <c r="A56" s="1" t="s">
        <v>1689</v>
      </c>
      <c r="B56" s="1" t="s">
        <v>1690</v>
      </c>
      <c r="C56" s="1" t="s">
        <v>1791</v>
      </c>
      <c r="D56" s="1">
        <v>2.0</v>
      </c>
      <c r="E56" s="1">
        <v>7.0</v>
      </c>
      <c r="F56" s="1">
        <v>12.0</v>
      </c>
      <c r="G56" s="1">
        <v>5.0</v>
      </c>
      <c r="H56" s="1" t="s">
        <v>4</v>
      </c>
    </row>
    <row r="57">
      <c r="A57" s="1" t="s">
        <v>1689</v>
      </c>
      <c r="B57" s="1" t="s">
        <v>1690</v>
      </c>
      <c r="C57" s="1" t="s">
        <v>1792</v>
      </c>
      <c r="D57" s="1" t="s">
        <v>1793</v>
      </c>
      <c r="E57" s="1" t="s">
        <v>1794</v>
      </c>
      <c r="F57" s="1" t="s">
        <v>1795</v>
      </c>
      <c r="G57" s="1" t="s">
        <v>13</v>
      </c>
      <c r="H57" s="1" t="s">
        <v>3</v>
      </c>
    </row>
    <row r="58">
      <c r="A58" s="1" t="s">
        <v>1689</v>
      </c>
      <c r="B58" s="1" t="s">
        <v>1690</v>
      </c>
      <c r="C58" s="1" t="s">
        <v>1796</v>
      </c>
      <c r="D58" s="1">
        <v>380.0</v>
      </c>
      <c r="E58" s="1">
        <v>400.0</v>
      </c>
      <c r="F58" s="1">
        <v>420.0</v>
      </c>
      <c r="G58" s="1">
        <v>360.0</v>
      </c>
      <c r="H58" s="1" t="s">
        <v>3</v>
      </c>
    </row>
    <row r="59">
      <c r="A59" s="1" t="s">
        <v>1689</v>
      </c>
      <c r="B59" s="1" t="s">
        <v>1690</v>
      </c>
      <c r="C59" s="1" t="s">
        <v>1797</v>
      </c>
      <c r="D59" s="1">
        <v>30.0</v>
      </c>
      <c r="E59" s="1">
        <v>31.0</v>
      </c>
      <c r="F59" s="1">
        <v>32.0</v>
      </c>
      <c r="G59" s="1">
        <v>33.0</v>
      </c>
      <c r="H59" s="1" t="s">
        <v>6</v>
      </c>
    </row>
    <row r="60">
      <c r="A60" s="1" t="s">
        <v>1689</v>
      </c>
      <c r="B60" s="1" t="s">
        <v>1690</v>
      </c>
      <c r="C60" s="1" t="s">
        <v>1798</v>
      </c>
      <c r="D60" s="1">
        <v>12.0</v>
      </c>
      <c r="E60" s="1">
        <v>14.0</v>
      </c>
      <c r="F60" s="1">
        <v>11.0</v>
      </c>
      <c r="G60" s="1">
        <v>15.0</v>
      </c>
      <c r="H60" s="1" t="s">
        <v>4</v>
      </c>
    </row>
    <row r="61">
      <c r="A61" s="1" t="s">
        <v>1689</v>
      </c>
      <c r="B61" s="1" t="s">
        <v>1690</v>
      </c>
      <c r="C61" s="1" t="s">
        <v>1799</v>
      </c>
      <c r="D61" s="1">
        <v>1.0</v>
      </c>
      <c r="E61" s="1">
        <v>2.0</v>
      </c>
      <c r="F61" s="1">
        <v>3.0</v>
      </c>
      <c r="G61" s="1">
        <v>4.0</v>
      </c>
      <c r="H61" s="1" t="s">
        <v>4</v>
      </c>
    </row>
    <row r="62">
      <c r="A62" s="1" t="s">
        <v>1689</v>
      </c>
      <c r="B62" s="1" t="s">
        <v>1690</v>
      </c>
      <c r="C62" s="1" t="s">
        <v>1800</v>
      </c>
      <c r="D62" s="1" t="s">
        <v>1801</v>
      </c>
      <c r="E62" s="1" t="s">
        <v>1802</v>
      </c>
      <c r="F62" s="1" t="s">
        <v>1803</v>
      </c>
      <c r="G62" s="1" t="s">
        <v>1804</v>
      </c>
      <c r="H62" s="1" t="s">
        <v>4</v>
      </c>
    </row>
    <row r="63">
      <c r="A63" s="1" t="s">
        <v>1689</v>
      </c>
      <c r="B63" s="1" t="s">
        <v>1690</v>
      </c>
      <c r="C63" s="1" t="s">
        <v>1805</v>
      </c>
      <c r="D63" s="1">
        <v>-320.0</v>
      </c>
      <c r="E63" s="1">
        <v>320.0</v>
      </c>
      <c r="F63" s="1">
        <v>-352.0</v>
      </c>
      <c r="G63" s="1">
        <v>-400.0</v>
      </c>
      <c r="H63" s="1" t="s">
        <v>3</v>
      </c>
    </row>
    <row r="64">
      <c r="A64" s="1" t="s">
        <v>1689</v>
      </c>
      <c r="B64" s="1" t="s">
        <v>1690</v>
      </c>
      <c r="C64" s="1" t="s">
        <v>1806</v>
      </c>
      <c r="D64" s="1" t="s">
        <v>1807</v>
      </c>
      <c r="E64" s="1" t="s">
        <v>1808</v>
      </c>
      <c r="F64" s="1">
        <v>0.0</v>
      </c>
      <c r="G64" s="1">
        <v>1.0</v>
      </c>
      <c r="H64" s="1" t="s">
        <v>5</v>
      </c>
    </row>
    <row r="65">
      <c r="A65" s="1" t="s">
        <v>1689</v>
      </c>
      <c r="B65" s="1" t="s">
        <v>1690</v>
      </c>
      <c r="C65" s="1" t="s">
        <v>1809</v>
      </c>
      <c r="D65" s="1">
        <v>10.0</v>
      </c>
      <c r="E65" s="1">
        <v>11.0</v>
      </c>
      <c r="F65" s="1">
        <v>12.0</v>
      </c>
      <c r="G65" s="1">
        <v>13.0</v>
      </c>
      <c r="H65" s="1" t="s">
        <v>4</v>
      </c>
    </row>
    <row r="66">
      <c r="A66" s="1" t="s">
        <v>1689</v>
      </c>
      <c r="B66" s="1" t="s">
        <v>1690</v>
      </c>
      <c r="C66" s="1" t="s">
        <v>1810</v>
      </c>
      <c r="D66" s="1">
        <v>6.0</v>
      </c>
      <c r="E66" s="1">
        <v>7.0</v>
      </c>
      <c r="F66" s="1">
        <v>8.0</v>
      </c>
      <c r="G66" s="1">
        <v>9.0</v>
      </c>
      <c r="H66" s="1" t="s">
        <v>3</v>
      </c>
    </row>
    <row r="67">
      <c r="A67" s="1" t="s">
        <v>1689</v>
      </c>
      <c r="B67" s="1" t="s">
        <v>1690</v>
      </c>
      <c r="C67" s="1" t="s">
        <v>1811</v>
      </c>
      <c r="D67" s="1">
        <v>100.0</v>
      </c>
      <c r="E67" s="1">
        <v>121.0</v>
      </c>
      <c r="F67" s="1">
        <v>81.0</v>
      </c>
      <c r="G67" s="1">
        <v>144.0</v>
      </c>
      <c r="H67" s="1" t="s">
        <v>3</v>
      </c>
    </row>
    <row r="68">
      <c r="A68" s="1" t="s">
        <v>1689</v>
      </c>
      <c r="B68" s="1" t="s">
        <v>1690</v>
      </c>
      <c r="C68" s="1" t="s">
        <v>1812</v>
      </c>
      <c r="D68" s="7">
        <v>40396.0</v>
      </c>
      <c r="E68" s="7">
        <v>40760.0</v>
      </c>
      <c r="F68" s="7">
        <v>41125.0</v>
      </c>
      <c r="G68" s="7">
        <v>41853.0</v>
      </c>
      <c r="H68" s="1" t="s">
        <v>3</v>
      </c>
    </row>
    <row r="69">
      <c r="A69" s="1" t="s">
        <v>1689</v>
      </c>
      <c r="B69" s="1" t="s">
        <v>1690</v>
      </c>
      <c r="C69" s="1" t="s">
        <v>1813</v>
      </c>
      <c r="D69" s="1" t="s">
        <v>1814</v>
      </c>
      <c r="E69" s="1" t="s">
        <v>1815</v>
      </c>
      <c r="F69" s="1" t="s">
        <v>1816</v>
      </c>
      <c r="G69" s="1" t="s">
        <v>1817</v>
      </c>
      <c r="H69" s="1" t="s">
        <v>3</v>
      </c>
    </row>
    <row r="70">
      <c r="A70" s="1" t="s">
        <v>1689</v>
      </c>
      <c r="B70" s="1" t="s">
        <v>1690</v>
      </c>
      <c r="C70" s="1" t="s">
        <v>1818</v>
      </c>
      <c r="D70" s="1" t="s">
        <v>1819</v>
      </c>
      <c r="E70" s="1" t="s">
        <v>1820</v>
      </c>
      <c r="F70" s="1" t="s">
        <v>1821</v>
      </c>
      <c r="G70" s="1" t="s">
        <v>1353</v>
      </c>
      <c r="H70" s="1" t="s">
        <v>4</v>
      </c>
    </row>
    <row r="71">
      <c r="A71" s="1" t="s">
        <v>1689</v>
      </c>
      <c r="B71" s="1" t="s">
        <v>1690</v>
      </c>
      <c r="C71" s="1" t="s">
        <v>1822</v>
      </c>
      <c r="D71" s="1">
        <v>1.0</v>
      </c>
      <c r="E71" s="1">
        <v>2.0</v>
      </c>
      <c r="F71" s="1">
        <v>3.0</v>
      </c>
      <c r="G71" s="1">
        <v>0.0</v>
      </c>
      <c r="H71" s="1" t="s">
        <v>4</v>
      </c>
    </row>
    <row r="72">
      <c r="A72" s="1" t="s">
        <v>1689</v>
      </c>
      <c r="B72" s="1" t="s">
        <v>1690</v>
      </c>
      <c r="C72" s="1" t="s">
        <v>1823</v>
      </c>
      <c r="D72" s="1">
        <v>10.0</v>
      </c>
      <c r="E72" s="1">
        <v>11.0</v>
      </c>
      <c r="F72" s="1">
        <v>9.0</v>
      </c>
      <c r="G72" s="1">
        <v>12.0</v>
      </c>
      <c r="H72" s="1" t="s">
        <v>3</v>
      </c>
    </row>
    <row r="73">
      <c r="A73" s="1" t="s">
        <v>1689</v>
      </c>
      <c r="B73" s="1" t="s">
        <v>1690</v>
      </c>
      <c r="C73" s="1" t="s">
        <v>1824</v>
      </c>
      <c r="D73" s="1" t="s">
        <v>1825</v>
      </c>
      <c r="E73" s="1" t="s">
        <v>1826</v>
      </c>
      <c r="F73" s="1" t="s">
        <v>1827</v>
      </c>
      <c r="G73" s="1" t="s">
        <v>1828</v>
      </c>
      <c r="H73" s="1" t="s">
        <v>4</v>
      </c>
    </row>
    <row r="74">
      <c r="A74" s="1" t="s">
        <v>1689</v>
      </c>
      <c r="B74" s="1" t="s">
        <v>1690</v>
      </c>
      <c r="C74" s="1" t="s">
        <v>1829</v>
      </c>
      <c r="D74" s="1">
        <v>-1.0</v>
      </c>
      <c r="E74" s="1">
        <v>1.0</v>
      </c>
      <c r="F74" s="1" t="s">
        <v>360</v>
      </c>
      <c r="G74" s="2">
        <v>46054.0</v>
      </c>
      <c r="H74" s="1" t="s">
        <v>3</v>
      </c>
    </row>
    <row r="75">
      <c r="A75" s="1" t="s">
        <v>1689</v>
      </c>
      <c r="B75" s="1" t="s">
        <v>1690</v>
      </c>
      <c r="C75" s="1" t="s">
        <v>1830</v>
      </c>
      <c r="D75" s="1">
        <v>1.0</v>
      </c>
      <c r="E75" s="1">
        <v>9.0</v>
      </c>
      <c r="F75" s="1">
        <v>15.0</v>
      </c>
      <c r="G75" s="1">
        <v>19.0</v>
      </c>
      <c r="H75" s="1" t="s">
        <v>5</v>
      </c>
    </row>
    <row r="76">
      <c r="A76" s="1" t="s">
        <v>1689</v>
      </c>
      <c r="B76" s="1" t="s">
        <v>1690</v>
      </c>
      <c r="C76" s="1" t="s">
        <v>1831</v>
      </c>
      <c r="D76" s="1">
        <v>25.0</v>
      </c>
      <c r="E76" s="1">
        <v>28.0</v>
      </c>
      <c r="F76" s="1">
        <v>30.0</v>
      </c>
      <c r="G76" s="1">
        <v>32.0</v>
      </c>
      <c r="H76" s="1" t="s">
        <v>4</v>
      </c>
    </row>
    <row r="77">
      <c r="A77" s="1" t="s">
        <v>1689</v>
      </c>
      <c r="B77" s="1" t="s">
        <v>1690</v>
      </c>
      <c r="C77" s="1" t="s">
        <v>1832</v>
      </c>
      <c r="D77" s="1" t="s">
        <v>1833</v>
      </c>
      <c r="E77" s="1" t="s">
        <v>1834</v>
      </c>
      <c r="F77" s="1" t="s">
        <v>1835</v>
      </c>
      <c r="G77" s="1" t="s">
        <v>1836</v>
      </c>
      <c r="H77" s="1" t="s">
        <v>4</v>
      </c>
    </row>
    <row r="78">
      <c r="A78" s="1" t="s">
        <v>1689</v>
      </c>
      <c r="B78" s="1" t="s">
        <v>1690</v>
      </c>
      <c r="C78" s="1" t="s">
        <v>1837</v>
      </c>
      <c r="D78" s="1">
        <v>16.0</v>
      </c>
      <c r="E78" s="1">
        <v>20.0</v>
      </c>
      <c r="F78" s="1">
        <v>24.0</v>
      </c>
      <c r="G78" s="1">
        <v>28.0</v>
      </c>
      <c r="H78" s="1" t="s">
        <v>6</v>
      </c>
    </row>
    <row r="79">
      <c r="A79" s="1" t="s">
        <v>1689</v>
      </c>
      <c r="B79" s="1" t="s">
        <v>1690</v>
      </c>
      <c r="C79" s="1" t="s">
        <v>1838</v>
      </c>
      <c r="D79" s="1">
        <v>24.0</v>
      </c>
      <c r="E79" s="1">
        <v>25.0</v>
      </c>
      <c r="F79" s="1">
        <v>26.0</v>
      </c>
      <c r="G79" s="1">
        <v>20.0</v>
      </c>
      <c r="H79" s="1" t="s">
        <v>4</v>
      </c>
    </row>
    <row r="80">
      <c r="A80" s="1" t="s">
        <v>1689</v>
      </c>
      <c r="B80" s="1" t="s">
        <v>1690</v>
      </c>
      <c r="C80" s="1" t="s">
        <v>1839</v>
      </c>
      <c r="D80" s="1">
        <v>4.0</v>
      </c>
      <c r="E80" s="1">
        <v>8.0</v>
      </c>
      <c r="F80" s="1">
        <v>2.0</v>
      </c>
      <c r="G80" s="1">
        <v>1.0</v>
      </c>
      <c r="H80" s="1" t="s">
        <v>4</v>
      </c>
    </row>
    <row r="81">
      <c r="A81" s="1" t="s">
        <v>1689</v>
      </c>
      <c r="B81" s="1" t="s">
        <v>1690</v>
      </c>
      <c r="C81" s="1" t="s">
        <v>1840</v>
      </c>
      <c r="D81" s="1">
        <v>5.0</v>
      </c>
      <c r="E81" s="1">
        <v>3.0</v>
      </c>
      <c r="F81" s="1">
        <v>1.0</v>
      </c>
      <c r="G81" s="1">
        <v>4.0</v>
      </c>
      <c r="H81" s="1" t="s">
        <v>5</v>
      </c>
    </row>
    <row r="82">
      <c r="A82" s="1" t="s">
        <v>1689</v>
      </c>
      <c r="B82" s="1" t="s">
        <v>1690</v>
      </c>
      <c r="C82" s="1" t="s">
        <v>1841</v>
      </c>
      <c r="D82" s="1">
        <v>108.0</v>
      </c>
      <c r="E82" s="1">
        <v>100.0</v>
      </c>
      <c r="F82" s="1">
        <v>110.0</v>
      </c>
      <c r="G82" s="1">
        <v>106.0</v>
      </c>
      <c r="H82" s="1" t="s">
        <v>3</v>
      </c>
    </row>
    <row r="83">
      <c r="A83" s="1" t="s">
        <v>1689</v>
      </c>
      <c r="B83" s="1" t="s">
        <v>1690</v>
      </c>
      <c r="C83" s="1" t="s">
        <v>1842</v>
      </c>
      <c r="D83" s="1">
        <v>111.0</v>
      </c>
      <c r="E83" s="1">
        <v>118.0</v>
      </c>
      <c r="F83" s="1">
        <v>104.0</v>
      </c>
      <c r="G83" s="1">
        <v>125.0</v>
      </c>
      <c r="H83" s="1" t="s">
        <v>3</v>
      </c>
    </row>
    <row r="84">
      <c r="A84" s="1" t="s">
        <v>1689</v>
      </c>
      <c r="B84" s="1" t="s">
        <v>1690</v>
      </c>
      <c r="C84" s="1" t="s">
        <v>1843</v>
      </c>
      <c r="D84" s="1">
        <v>2500.0</v>
      </c>
      <c r="E84" s="1">
        <v>2400.0</v>
      </c>
      <c r="F84" s="1">
        <v>2600.0</v>
      </c>
      <c r="G84" s="1">
        <v>5000.0</v>
      </c>
      <c r="H84" s="1" t="s">
        <v>3</v>
      </c>
    </row>
    <row r="85">
      <c r="A85" s="1" t="s">
        <v>1689</v>
      </c>
      <c r="B85" s="1" t="s">
        <v>1690</v>
      </c>
      <c r="C85" s="1" t="s">
        <v>1844</v>
      </c>
      <c r="D85" s="1" t="s">
        <v>1845</v>
      </c>
      <c r="E85" s="1" t="s">
        <v>1846</v>
      </c>
      <c r="F85" s="1" t="s">
        <v>1847</v>
      </c>
      <c r="G85" s="1" t="s">
        <v>1848</v>
      </c>
      <c r="H85" s="1" t="s">
        <v>4</v>
      </c>
    </row>
    <row r="86">
      <c r="A86" s="1" t="s">
        <v>1689</v>
      </c>
      <c r="B86" s="1" t="s">
        <v>1690</v>
      </c>
      <c r="C86" s="1" t="s">
        <v>1849</v>
      </c>
      <c r="D86" s="1">
        <v>33.0</v>
      </c>
      <c r="E86" s="1">
        <v>34.0</v>
      </c>
      <c r="F86" s="1">
        <v>32.0</v>
      </c>
      <c r="G86" s="1">
        <v>35.0</v>
      </c>
      <c r="H86" s="1" t="s">
        <v>3</v>
      </c>
    </row>
    <row r="87">
      <c r="A87" s="1" t="s">
        <v>1689</v>
      </c>
      <c r="B87" s="1" t="s">
        <v>1690</v>
      </c>
      <c r="C87" s="1" t="s">
        <v>1850</v>
      </c>
      <c r="D87" s="1">
        <v>65.0</v>
      </c>
      <c r="E87" s="1">
        <v>64.0</v>
      </c>
      <c r="F87" s="1">
        <v>50.0</v>
      </c>
      <c r="G87" s="1">
        <v>82.0</v>
      </c>
      <c r="H87" s="1" t="s">
        <v>3</v>
      </c>
    </row>
    <row r="88">
      <c r="A88" s="1" t="s">
        <v>1689</v>
      </c>
      <c r="B88" s="1" t="s">
        <v>1690</v>
      </c>
      <c r="C88" s="1" t="s">
        <v>1851</v>
      </c>
      <c r="D88" s="1">
        <v>200.0</v>
      </c>
      <c r="E88" s="1">
        <v>210.0</v>
      </c>
      <c r="F88" s="1">
        <v>180.0</v>
      </c>
      <c r="G88" s="1">
        <v>220.0</v>
      </c>
      <c r="H88" s="1" t="s">
        <v>4</v>
      </c>
    </row>
    <row r="89">
      <c r="A89" s="1" t="s">
        <v>1689</v>
      </c>
      <c r="B89" s="1" t="s">
        <v>1690</v>
      </c>
      <c r="C89" s="1" t="s">
        <v>1852</v>
      </c>
      <c r="D89" s="1">
        <v>1.0</v>
      </c>
      <c r="E89" s="1">
        <v>0.0</v>
      </c>
      <c r="F89" s="1">
        <v>2.0</v>
      </c>
      <c r="G89" s="1" t="s">
        <v>586</v>
      </c>
      <c r="H89" s="1" t="s">
        <v>3</v>
      </c>
    </row>
    <row r="90">
      <c r="A90" s="1" t="s">
        <v>1689</v>
      </c>
      <c r="B90" s="1" t="s">
        <v>1690</v>
      </c>
      <c r="C90" s="1" t="s">
        <v>1853</v>
      </c>
      <c r="D90" s="1">
        <v>11.0</v>
      </c>
      <c r="E90" s="1">
        <v>12.0</v>
      </c>
      <c r="F90" s="1">
        <v>13.0</v>
      </c>
      <c r="G90" s="1">
        <v>10.0</v>
      </c>
      <c r="H90" s="1" t="s">
        <v>4</v>
      </c>
    </row>
    <row r="91">
      <c r="A91" s="1" t="s">
        <v>1689</v>
      </c>
      <c r="B91" s="1" t="s">
        <v>1690</v>
      </c>
      <c r="C91" s="1" t="s">
        <v>1854</v>
      </c>
      <c r="D91" s="1">
        <v>5.0</v>
      </c>
      <c r="E91" s="1">
        <v>10.0</v>
      </c>
      <c r="F91" s="1">
        <v>15.0</v>
      </c>
      <c r="G91" s="1">
        <v>20.0</v>
      </c>
      <c r="H91" s="1" t="s">
        <v>4</v>
      </c>
    </row>
    <row r="92">
      <c r="A92" s="1" t="s">
        <v>1689</v>
      </c>
      <c r="B92" s="1" t="s">
        <v>1690</v>
      </c>
      <c r="C92" s="1" t="s">
        <v>1855</v>
      </c>
      <c r="D92" s="1">
        <v>2.0</v>
      </c>
      <c r="E92" s="1">
        <v>0.0</v>
      </c>
      <c r="F92" s="1">
        <v>1.0</v>
      </c>
      <c r="G92" s="1" t="s">
        <v>586</v>
      </c>
      <c r="H92" s="1" t="s">
        <v>4</v>
      </c>
    </row>
    <row r="93">
      <c r="A93" s="1" t="s">
        <v>1689</v>
      </c>
      <c r="B93" s="1" t="s">
        <v>1690</v>
      </c>
      <c r="C93" s="1" t="s">
        <v>1856</v>
      </c>
      <c r="D93" s="1">
        <v>20.0</v>
      </c>
      <c r="E93" s="1">
        <v>22.0</v>
      </c>
      <c r="F93" s="1">
        <v>25.0</v>
      </c>
      <c r="G93" s="1">
        <v>18.0</v>
      </c>
      <c r="H93" s="1" t="s">
        <v>4</v>
      </c>
    </row>
    <row r="94">
      <c r="A94" s="1" t="s">
        <v>1689</v>
      </c>
      <c r="B94" s="1" t="s">
        <v>1690</v>
      </c>
      <c r="C94" s="1" t="s">
        <v>1857</v>
      </c>
      <c r="D94" s="1">
        <v>185.0</v>
      </c>
      <c r="E94" s="1">
        <v>180.0</v>
      </c>
      <c r="F94" s="1">
        <v>195.0</v>
      </c>
      <c r="G94" s="1">
        <v>200.0</v>
      </c>
      <c r="H94" s="1" t="s">
        <v>3</v>
      </c>
    </row>
    <row r="95">
      <c r="A95" s="1" t="s">
        <v>1689</v>
      </c>
      <c r="B95" s="1" t="s">
        <v>1690</v>
      </c>
      <c r="C95" s="1" t="s">
        <v>1858</v>
      </c>
      <c r="D95" s="1">
        <v>193.0</v>
      </c>
      <c r="E95" s="1">
        <v>191.0</v>
      </c>
      <c r="F95" s="1">
        <v>195.0</v>
      </c>
      <c r="G95" s="1">
        <v>189.0</v>
      </c>
      <c r="H95" s="1" t="s">
        <v>3</v>
      </c>
    </row>
    <row r="96">
      <c r="A96" s="1" t="s">
        <v>1689</v>
      </c>
      <c r="B96" s="1" t="s">
        <v>1690</v>
      </c>
      <c r="C96" s="1" t="s">
        <v>1859</v>
      </c>
      <c r="D96" s="1">
        <v>31.0</v>
      </c>
      <c r="E96" s="1">
        <v>30.0</v>
      </c>
      <c r="F96" s="1">
        <v>29.0</v>
      </c>
      <c r="G96" s="1">
        <v>32.0</v>
      </c>
      <c r="H96" s="1" t="s">
        <v>3</v>
      </c>
    </row>
    <row r="97">
      <c r="A97" s="1" t="s">
        <v>1689</v>
      </c>
      <c r="B97" s="1" t="s">
        <v>1690</v>
      </c>
      <c r="C97" s="1" t="s">
        <v>1860</v>
      </c>
      <c r="D97" s="1">
        <v>52.0</v>
      </c>
      <c r="E97" s="1">
        <v>53.0</v>
      </c>
      <c r="F97" s="1">
        <v>51.0</v>
      </c>
      <c r="G97" s="1">
        <v>55.0</v>
      </c>
      <c r="H97" s="1" t="s">
        <v>3</v>
      </c>
    </row>
    <row r="98">
      <c r="A98" s="1" t="s">
        <v>1689</v>
      </c>
      <c r="B98" s="1" t="s">
        <v>1690</v>
      </c>
      <c r="C98" s="1" t="s">
        <v>1861</v>
      </c>
      <c r="D98" s="1">
        <v>50.0</v>
      </c>
      <c r="E98" s="1">
        <v>100.0</v>
      </c>
      <c r="F98" s="1">
        <v>500.0</v>
      </c>
      <c r="G98" s="1">
        <v>1000.0</v>
      </c>
      <c r="H98" s="1" t="s">
        <v>3</v>
      </c>
    </row>
    <row r="99">
      <c r="A99" s="1" t="s">
        <v>1689</v>
      </c>
      <c r="B99" s="1" t="s">
        <v>1690</v>
      </c>
      <c r="C99" s="1" t="s">
        <v>1862</v>
      </c>
      <c r="D99" s="1">
        <v>32.0</v>
      </c>
      <c r="E99" s="1">
        <v>33.0</v>
      </c>
      <c r="F99" s="1">
        <v>34.0</v>
      </c>
      <c r="G99" s="1">
        <v>35.0</v>
      </c>
      <c r="H99" s="1" t="s">
        <v>5</v>
      </c>
    </row>
    <row r="100">
      <c r="A100" s="1" t="s">
        <v>1689</v>
      </c>
      <c r="B100" s="1" t="s">
        <v>1690</v>
      </c>
      <c r="C100" s="1" t="s">
        <v>1863</v>
      </c>
      <c r="D100" s="1">
        <v>-30.0</v>
      </c>
      <c r="E100" s="1">
        <v>-20.0</v>
      </c>
      <c r="F100" s="1">
        <v>-40.0</v>
      </c>
      <c r="G100" s="1">
        <v>-10.0</v>
      </c>
      <c r="H100" s="1" t="s">
        <v>3</v>
      </c>
    </row>
    <row r="101">
      <c r="A101" s="1" t="s">
        <v>1689</v>
      </c>
      <c r="B101" s="1" t="s">
        <v>1690</v>
      </c>
      <c r="C101" s="1" t="s">
        <v>1864</v>
      </c>
      <c r="D101" s="1">
        <v>0.0</v>
      </c>
      <c r="E101" s="1">
        <v>3.5</v>
      </c>
      <c r="F101" s="1">
        <v>103.5</v>
      </c>
      <c r="G101" s="1">
        <v>104.5</v>
      </c>
      <c r="H101" s="1" t="s">
        <v>4</v>
      </c>
    </row>
    <row r="102">
      <c r="A102" s="1" t="s">
        <v>1689</v>
      </c>
      <c r="B102" s="1" t="s">
        <v>1690</v>
      </c>
      <c r="C102" s="1" t="s">
        <v>1865</v>
      </c>
      <c r="D102" s="2">
        <v>46085.0</v>
      </c>
      <c r="E102" s="2">
        <v>46086.0</v>
      </c>
      <c r="F102" s="2">
        <v>46082.0</v>
      </c>
      <c r="G102" s="2">
        <v>46083.0</v>
      </c>
      <c r="H102" s="1" t="s">
        <v>3</v>
      </c>
    </row>
    <row r="103">
      <c r="A103" s="1" t="s">
        <v>1689</v>
      </c>
      <c r="B103" s="1" t="s">
        <v>1690</v>
      </c>
      <c r="C103" s="1" t="s">
        <v>1866</v>
      </c>
      <c r="D103" s="1">
        <v>3.0</v>
      </c>
      <c r="E103" s="1">
        <v>4.0</v>
      </c>
      <c r="F103" s="1">
        <v>5.0</v>
      </c>
      <c r="G103" s="1">
        <v>2.0</v>
      </c>
      <c r="H103" s="1" t="s">
        <v>3</v>
      </c>
    </row>
    <row r="104">
      <c r="A104" s="1" t="s">
        <v>1689</v>
      </c>
      <c r="B104" s="1" t="s">
        <v>1690</v>
      </c>
      <c r="C104" s="1" t="s">
        <v>1867</v>
      </c>
      <c r="D104" s="1">
        <v>500500.0</v>
      </c>
      <c r="E104" s="1">
        <v>500000.0</v>
      </c>
      <c r="F104" s="1">
        <v>505000.0</v>
      </c>
      <c r="G104" s="1">
        <v>500050.0</v>
      </c>
      <c r="H104" s="1" t="s">
        <v>3</v>
      </c>
    </row>
    <row r="105">
      <c r="A105" s="1" t="s">
        <v>1689</v>
      </c>
      <c r="B105" s="1" t="s">
        <v>1690</v>
      </c>
      <c r="C105" s="1" t="s">
        <v>1868</v>
      </c>
      <c r="D105" s="1">
        <v>15.0</v>
      </c>
      <c r="E105" s="1">
        <v>16.0</v>
      </c>
      <c r="F105" s="1">
        <v>17.0</v>
      </c>
      <c r="G105" s="1">
        <v>13.0</v>
      </c>
      <c r="H105" s="1" t="s">
        <v>4</v>
      </c>
    </row>
    <row r="106">
      <c r="A106" s="1" t="s">
        <v>1689</v>
      </c>
      <c r="B106" s="1" t="s">
        <v>1690</v>
      </c>
      <c r="C106" s="1" t="s">
        <v>1869</v>
      </c>
      <c r="D106" s="1" t="s">
        <v>1870</v>
      </c>
      <c r="E106" s="1" t="s">
        <v>1871</v>
      </c>
      <c r="F106" s="1" t="s">
        <v>1872</v>
      </c>
      <c r="G106" s="1" t="s">
        <v>1873</v>
      </c>
      <c r="H106" s="1" t="s">
        <v>3</v>
      </c>
    </row>
    <row r="107">
      <c r="A107" s="1" t="s">
        <v>1689</v>
      </c>
      <c r="B107" s="1" t="s">
        <v>1690</v>
      </c>
      <c r="C107" s="1" t="s">
        <v>1874</v>
      </c>
      <c r="D107" s="7">
        <v>40760.0</v>
      </c>
      <c r="E107" s="7">
        <v>40396.0</v>
      </c>
      <c r="F107" s="7">
        <v>41125.0</v>
      </c>
      <c r="G107" s="8">
        <v>40032.0</v>
      </c>
      <c r="H107" s="1" t="s">
        <v>3</v>
      </c>
    </row>
    <row r="108">
      <c r="A108" s="1" t="s">
        <v>1689</v>
      </c>
      <c r="B108" s="1" t="s">
        <v>1690</v>
      </c>
      <c r="C108" s="1" t="s">
        <v>1875</v>
      </c>
      <c r="D108" s="1">
        <v>2.0</v>
      </c>
      <c r="E108" s="1">
        <v>4.0</v>
      </c>
      <c r="F108" s="1">
        <v>0.0</v>
      </c>
      <c r="G108" s="1">
        <v>-1.0</v>
      </c>
      <c r="H108" s="1" t="s">
        <v>3</v>
      </c>
    </row>
    <row r="109">
      <c r="A109" s="1" t="s">
        <v>1689</v>
      </c>
      <c r="B109" s="1" t="s">
        <v>1690</v>
      </c>
      <c r="C109" s="1" t="s">
        <v>1876</v>
      </c>
      <c r="D109" s="1" t="s">
        <v>1825</v>
      </c>
      <c r="E109" s="1" t="s">
        <v>1826</v>
      </c>
      <c r="F109" s="1" t="s">
        <v>1827</v>
      </c>
      <c r="G109" s="1" t="s">
        <v>1877</v>
      </c>
      <c r="H109" s="1" t="s">
        <v>5</v>
      </c>
    </row>
    <row r="110">
      <c r="A110" s="1" t="s">
        <v>1689</v>
      </c>
      <c r="B110" s="1" t="s">
        <v>1690</v>
      </c>
      <c r="C110" s="1" t="s">
        <v>1878</v>
      </c>
      <c r="D110" s="1">
        <v>26.0</v>
      </c>
      <c r="E110" s="1">
        <v>25.0</v>
      </c>
      <c r="F110" s="1">
        <v>24.0</v>
      </c>
      <c r="G110" s="1">
        <v>27.0</v>
      </c>
      <c r="H110" s="1" t="s">
        <v>3</v>
      </c>
    </row>
    <row r="111">
      <c r="A111" s="1" t="s">
        <v>1689</v>
      </c>
      <c r="B111" s="1" t="s">
        <v>1690</v>
      </c>
      <c r="C111" s="1" t="s">
        <v>1879</v>
      </c>
      <c r="D111" s="1">
        <v>1.0</v>
      </c>
      <c r="E111" s="1">
        <v>2.0</v>
      </c>
      <c r="F111" s="1">
        <v>5.0</v>
      </c>
      <c r="G111" s="1">
        <v>3.0</v>
      </c>
      <c r="H111" s="1" t="s">
        <v>3</v>
      </c>
    </row>
    <row r="112">
      <c r="A112" s="1" t="s">
        <v>1689</v>
      </c>
      <c r="B112" s="1" t="s">
        <v>1690</v>
      </c>
      <c r="C112" s="1" t="s">
        <v>1880</v>
      </c>
      <c r="D112" s="1">
        <v>10.0</v>
      </c>
      <c r="E112" s="1">
        <v>8.0</v>
      </c>
      <c r="F112" s="1">
        <v>6.0</v>
      </c>
      <c r="G112" s="1">
        <v>12.0</v>
      </c>
      <c r="H112" s="1" t="s">
        <v>4</v>
      </c>
    </row>
    <row r="113">
      <c r="A113" s="1" t="s">
        <v>1689</v>
      </c>
      <c r="B113" s="1" t="s">
        <v>1690</v>
      </c>
      <c r="C113" s="1" t="s">
        <v>1881</v>
      </c>
      <c r="D113" s="1">
        <v>200.0</v>
      </c>
      <c r="E113" s="1">
        <v>210.0</v>
      </c>
      <c r="F113" s="1">
        <v>190.0</v>
      </c>
      <c r="G113" s="1">
        <v>220.0</v>
      </c>
      <c r="H113" s="1" t="s">
        <v>4</v>
      </c>
    </row>
    <row r="114">
      <c r="A114" s="1" t="s">
        <v>1689</v>
      </c>
      <c r="B114" s="1" t="s">
        <v>1690</v>
      </c>
      <c r="C114" s="1" t="s">
        <v>1882</v>
      </c>
      <c r="D114" s="1" t="s">
        <v>1883</v>
      </c>
      <c r="E114" s="1" t="s">
        <v>498</v>
      </c>
      <c r="F114" s="1" t="s">
        <v>1884</v>
      </c>
      <c r="G114" s="1" t="s">
        <v>1885</v>
      </c>
      <c r="H114" s="1" t="s">
        <v>3</v>
      </c>
    </row>
    <row r="115">
      <c r="A115" s="1" t="s">
        <v>1689</v>
      </c>
      <c r="B115" s="1" t="s">
        <v>1690</v>
      </c>
      <c r="C115" s="1" t="s">
        <v>1886</v>
      </c>
      <c r="D115" s="1">
        <v>4.0</v>
      </c>
      <c r="E115" s="1">
        <v>-4.0</v>
      </c>
      <c r="F115" s="1">
        <v>8.0</v>
      </c>
      <c r="G115" s="1">
        <v>-8.0</v>
      </c>
      <c r="H115" s="1" t="s">
        <v>4</v>
      </c>
    </row>
    <row r="116">
      <c r="A116" s="1" t="s">
        <v>1689</v>
      </c>
      <c r="B116" s="1" t="s">
        <v>1690</v>
      </c>
      <c r="C116" s="1" t="s">
        <v>1887</v>
      </c>
      <c r="D116" s="1" t="s">
        <v>317</v>
      </c>
      <c r="E116" s="1" t="s">
        <v>316</v>
      </c>
      <c r="F116" s="1" t="s">
        <v>1888</v>
      </c>
      <c r="G116" s="1" t="s">
        <v>1889</v>
      </c>
      <c r="H116" s="1" t="s">
        <v>5</v>
      </c>
    </row>
    <row r="117">
      <c r="A117" s="1" t="s">
        <v>1689</v>
      </c>
      <c r="B117" s="1" t="s">
        <v>1690</v>
      </c>
      <c r="C117" s="1" t="s">
        <v>1890</v>
      </c>
      <c r="D117" s="1">
        <v>5.0</v>
      </c>
      <c r="E117" s="1">
        <v>6.0</v>
      </c>
      <c r="F117" s="1">
        <v>7.0</v>
      </c>
      <c r="G117" s="1">
        <v>8.0</v>
      </c>
      <c r="H117" s="1" t="s">
        <v>4</v>
      </c>
    </row>
    <row r="118">
      <c r="A118" s="1" t="s">
        <v>1689</v>
      </c>
      <c r="B118" s="1" t="s">
        <v>1690</v>
      </c>
      <c r="C118" s="1" t="s">
        <v>1891</v>
      </c>
      <c r="D118" s="1">
        <v>12.0</v>
      </c>
      <c r="E118" s="1">
        <v>15.0</v>
      </c>
      <c r="F118" s="1">
        <v>17.0</v>
      </c>
      <c r="G118" s="1">
        <v>11.0</v>
      </c>
      <c r="H118" s="1" t="s">
        <v>4</v>
      </c>
    </row>
    <row r="119">
      <c r="A119" s="1" t="s">
        <v>1689</v>
      </c>
      <c r="B119" s="1" t="s">
        <v>1690</v>
      </c>
      <c r="C119" s="1" t="s">
        <v>1892</v>
      </c>
      <c r="D119" s="1">
        <v>107.0</v>
      </c>
      <c r="E119" s="1">
        <v>108.0</v>
      </c>
      <c r="F119" s="1">
        <v>102.0</v>
      </c>
      <c r="G119" s="1">
        <v>112.0</v>
      </c>
      <c r="H119" s="1" t="s">
        <v>3</v>
      </c>
    </row>
    <row r="120">
      <c r="A120" s="1" t="s">
        <v>1689</v>
      </c>
      <c r="B120" s="1" t="s">
        <v>1690</v>
      </c>
      <c r="C120" s="1" t="s">
        <v>1893</v>
      </c>
      <c r="D120" s="1" t="s">
        <v>27</v>
      </c>
      <c r="E120" s="1" t="s">
        <v>1894</v>
      </c>
      <c r="F120" s="1" t="s">
        <v>1895</v>
      </c>
      <c r="G120" s="1" t="s">
        <v>1896</v>
      </c>
      <c r="H120" s="1" t="s">
        <v>4</v>
      </c>
    </row>
    <row r="121">
      <c r="A121" s="1" t="s">
        <v>1689</v>
      </c>
      <c r="B121" s="1" t="s">
        <v>1690</v>
      </c>
      <c r="C121" s="1" t="s">
        <v>1897</v>
      </c>
      <c r="D121" s="1">
        <v>155.0</v>
      </c>
      <c r="E121" s="1">
        <v>165.0</v>
      </c>
      <c r="F121" s="1">
        <v>145.0</v>
      </c>
      <c r="G121" s="1">
        <v>135.0</v>
      </c>
      <c r="H121" s="1" t="s">
        <v>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946</v>
      </c>
      <c r="C2" s="1" t="s">
        <v>1898</v>
      </c>
      <c r="D2" s="9" t="s">
        <v>1899</v>
      </c>
      <c r="E2" s="1" t="s">
        <v>1900</v>
      </c>
      <c r="F2" s="9" t="s">
        <v>1901</v>
      </c>
      <c r="G2" s="9" t="s">
        <v>1902</v>
      </c>
      <c r="H2" s="9" t="s">
        <v>5</v>
      </c>
    </row>
    <row r="3">
      <c r="A3" s="1" t="s">
        <v>355</v>
      </c>
      <c r="B3" s="1" t="s">
        <v>946</v>
      </c>
      <c r="C3" s="1" t="s">
        <v>1903</v>
      </c>
      <c r="D3" s="9" t="s">
        <v>1904</v>
      </c>
      <c r="E3" s="1" t="s">
        <v>1905</v>
      </c>
      <c r="F3" s="9" t="s">
        <v>1906</v>
      </c>
      <c r="G3" s="9" t="s">
        <v>1907</v>
      </c>
      <c r="H3" s="9" t="s">
        <v>5</v>
      </c>
    </row>
    <row r="4">
      <c r="A4" s="1" t="s">
        <v>355</v>
      </c>
      <c r="B4" s="1" t="s">
        <v>946</v>
      </c>
      <c r="C4" s="1" t="s">
        <v>1908</v>
      </c>
      <c r="D4" s="9" t="s">
        <v>1909</v>
      </c>
      <c r="E4" s="1" t="s">
        <v>1910</v>
      </c>
      <c r="F4" s="9" t="s">
        <v>1911</v>
      </c>
      <c r="G4" s="9" t="s">
        <v>1912</v>
      </c>
      <c r="H4" s="9" t="s">
        <v>3</v>
      </c>
    </row>
    <row r="5">
      <c r="A5" s="1" t="s">
        <v>355</v>
      </c>
      <c r="B5" s="1" t="s">
        <v>946</v>
      </c>
      <c r="C5" s="1" t="s">
        <v>1913</v>
      </c>
      <c r="D5" s="9" t="s">
        <v>1914</v>
      </c>
      <c r="E5" s="1" t="s">
        <v>1915</v>
      </c>
      <c r="F5" s="9" t="s">
        <v>99</v>
      </c>
      <c r="G5" s="9" t="s">
        <v>22</v>
      </c>
      <c r="H5" s="9" t="s">
        <v>4</v>
      </c>
    </row>
    <row r="6">
      <c r="A6" s="1" t="s">
        <v>355</v>
      </c>
      <c r="B6" s="1" t="s">
        <v>946</v>
      </c>
      <c r="C6" s="1" t="s">
        <v>1916</v>
      </c>
      <c r="D6" s="9" t="s">
        <v>1915</v>
      </c>
      <c r="E6" s="1" t="s">
        <v>1914</v>
      </c>
      <c r="F6" s="9" t="s">
        <v>99</v>
      </c>
      <c r="G6" s="9" t="s">
        <v>22</v>
      </c>
      <c r="H6" s="9" t="s">
        <v>3</v>
      </c>
    </row>
    <row r="7">
      <c r="A7" s="1" t="s">
        <v>355</v>
      </c>
      <c r="B7" s="1" t="s">
        <v>946</v>
      </c>
      <c r="C7" s="1" t="s">
        <v>1917</v>
      </c>
      <c r="D7" s="9" t="s">
        <v>1918</v>
      </c>
      <c r="E7" s="1" t="s">
        <v>1919</v>
      </c>
      <c r="F7" s="9" t="s">
        <v>1920</v>
      </c>
      <c r="G7" s="9" t="s">
        <v>1921</v>
      </c>
      <c r="H7" s="9" t="s">
        <v>5</v>
      </c>
    </row>
    <row r="8">
      <c r="A8" s="1" t="s">
        <v>355</v>
      </c>
      <c r="B8" s="1" t="s">
        <v>946</v>
      </c>
      <c r="C8" s="1" t="s">
        <v>1922</v>
      </c>
      <c r="D8" s="9" t="s">
        <v>316</v>
      </c>
      <c r="E8" s="1" t="s">
        <v>314</v>
      </c>
      <c r="F8" s="9" t="s">
        <v>1923</v>
      </c>
      <c r="G8" s="9" t="s">
        <v>317</v>
      </c>
      <c r="H8" s="9" t="s">
        <v>5</v>
      </c>
    </row>
    <row r="9">
      <c r="A9" s="1" t="s">
        <v>355</v>
      </c>
      <c r="B9" s="1" t="s">
        <v>946</v>
      </c>
      <c r="C9" s="1" t="s">
        <v>1924</v>
      </c>
      <c r="D9" s="9" t="s">
        <v>1925</v>
      </c>
      <c r="E9" s="1" t="s">
        <v>1191</v>
      </c>
      <c r="F9" s="9" t="s">
        <v>1509</v>
      </c>
      <c r="G9" s="9" t="s">
        <v>938</v>
      </c>
      <c r="H9" s="9" t="s">
        <v>4</v>
      </c>
    </row>
    <row r="10">
      <c r="A10" s="1" t="s">
        <v>355</v>
      </c>
      <c r="B10" s="1" t="s">
        <v>946</v>
      </c>
      <c r="C10" s="1" t="s">
        <v>1926</v>
      </c>
      <c r="D10" s="9" t="s">
        <v>1927</v>
      </c>
      <c r="E10" s="1" t="s">
        <v>1928</v>
      </c>
      <c r="F10" s="9" t="s">
        <v>1929</v>
      </c>
      <c r="G10" s="9" t="s">
        <v>1930</v>
      </c>
      <c r="H10" s="9" t="s">
        <v>3</v>
      </c>
    </row>
    <row r="11">
      <c r="A11" s="1" t="s">
        <v>355</v>
      </c>
      <c r="B11" s="1" t="s">
        <v>946</v>
      </c>
      <c r="C11" s="1" t="s">
        <v>1931</v>
      </c>
      <c r="D11" s="9" t="s">
        <v>1552</v>
      </c>
      <c r="E11" s="1" t="s">
        <v>1932</v>
      </c>
      <c r="F11" s="9" t="s">
        <v>1933</v>
      </c>
      <c r="G11" s="9" t="s">
        <v>1934</v>
      </c>
      <c r="H11" s="9" t="s">
        <v>6</v>
      </c>
    </row>
    <row r="12">
      <c r="A12" s="1" t="s">
        <v>355</v>
      </c>
      <c r="B12" s="1" t="s">
        <v>946</v>
      </c>
      <c r="C12" s="1" t="s">
        <v>1935</v>
      </c>
      <c r="D12" s="9" t="s">
        <v>1936</v>
      </c>
      <c r="E12" s="1" t="s">
        <v>1937</v>
      </c>
      <c r="F12" s="9" t="s">
        <v>1930</v>
      </c>
      <c r="G12" s="9" t="s">
        <v>1938</v>
      </c>
      <c r="H12" s="9" t="s">
        <v>5</v>
      </c>
    </row>
    <row r="13">
      <c r="A13" s="1" t="s">
        <v>355</v>
      </c>
      <c r="B13" s="1" t="s">
        <v>946</v>
      </c>
      <c r="C13" s="1" t="s">
        <v>1939</v>
      </c>
      <c r="D13" s="9" t="s">
        <v>1940</v>
      </c>
      <c r="E13" s="1" t="s">
        <v>1941</v>
      </c>
      <c r="F13" s="9" t="s">
        <v>1942</v>
      </c>
      <c r="G13" s="9" t="s">
        <v>1943</v>
      </c>
      <c r="H13" s="9" t="s">
        <v>4</v>
      </c>
    </row>
    <row r="14">
      <c r="A14" s="1" t="s">
        <v>355</v>
      </c>
      <c r="B14" s="1" t="s">
        <v>946</v>
      </c>
      <c r="C14" s="1" t="s">
        <v>1944</v>
      </c>
      <c r="D14" s="9" t="s">
        <v>1910</v>
      </c>
      <c r="E14" s="1" t="s">
        <v>1911</v>
      </c>
      <c r="F14" s="9" t="s">
        <v>1912</v>
      </c>
      <c r="G14" s="9" t="s">
        <v>1945</v>
      </c>
      <c r="H14" s="9" t="s">
        <v>5</v>
      </c>
    </row>
    <row r="15">
      <c r="A15" s="1" t="s">
        <v>355</v>
      </c>
      <c r="B15" s="1" t="s">
        <v>946</v>
      </c>
      <c r="C15" s="1" t="s">
        <v>1946</v>
      </c>
      <c r="D15" s="9" t="s">
        <v>1912</v>
      </c>
      <c r="E15" s="1" t="s">
        <v>1945</v>
      </c>
      <c r="F15" s="9" t="s">
        <v>1947</v>
      </c>
      <c r="G15" s="9" t="s">
        <v>1948</v>
      </c>
      <c r="H15" s="9" t="s">
        <v>4</v>
      </c>
    </row>
    <row r="16">
      <c r="A16" s="1" t="s">
        <v>355</v>
      </c>
      <c r="B16" s="1" t="s">
        <v>946</v>
      </c>
      <c r="C16" s="1" t="s">
        <v>1949</v>
      </c>
      <c r="D16" s="9" t="s">
        <v>1950</v>
      </c>
      <c r="E16" s="10">
        <v>1.375</v>
      </c>
      <c r="F16" s="9" t="s">
        <v>1951</v>
      </c>
      <c r="G16" s="9" t="s">
        <v>1952</v>
      </c>
      <c r="H16" s="9" t="s">
        <v>3</v>
      </c>
    </row>
    <row r="17">
      <c r="A17" s="1" t="s">
        <v>355</v>
      </c>
      <c r="B17" s="1" t="s">
        <v>946</v>
      </c>
      <c r="C17" s="1" t="s">
        <v>1953</v>
      </c>
      <c r="D17" s="9" t="s">
        <v>1954</v>
      </c>
      <c r="E17" s="1" t="s">
        <v>1955</v>
      </c>
      <c r="F17" s="9" t="s">
        <v>1956</v>
      </c>
      <c r="G17" s="9" t="s">
        <v>1957</v>
      </c>
      <c r="H17" s="9" t="s">
        <v>4</v>
      </c>
    </row>
    <row r="18">
      <c r="A18" s="1" t="s">
        <v>355</v>
      </c>
      <c r="B18" s="1" t="s">
        <v>946</v>
      </c>
      <c r="C18" s="1" t="s">
        <v>1958</v>
      </c>
      <c r="D18" s="11"/>
      <c r="E18" s="1" t="s">
        <v>1959</v>
      </c>
      <c r="F18" s="9" t="s">
        <v>1960</v>
      </c>
      <c r="G18" s="9" t="s">
        <v>1961</v>
      </c>
      <c r="H18" s="9" t="s">
        <v>1962</v>
      </c>
    </row>
    <row r="19">
      <c r="A19" s="1" t="s">
        <v>355</v>
      </c>
      <c r="B19" s="1" t="s">
        <v>946</v>
      </c>
      <c r="C19" s="1" t="s">
        <v>1963</v>
      </c>
      <c r="D19" s="9" t="s">
        <v>1910</v>
      </c>
      <c r="E19" s="1" t="s">
        <v>1912</v>
      </c>
      <c r="F19" s="9" t="s">
        <v>1911</v>
      </c>
      <c r="G19" s="9" t="s">
        <v>1909</v>
      </c>
      <c r="H19" s="9" t="s">
        <v>5</v>
      </c>
    </row>
    <row r="20">
      <c r="A20" s="1" t="s">
        <v>355</v>
      </c>
      <c r="B20" s="1" t="s">
        <v>946</v>
      </c>
      <c r="C20" s="1" t="s">
        <v>1964</v>
      </c>
      <c r="D20" s="9" t="s">
        <v>1965</v>
      </c>
      <c r="E20" s="1" t="s">
        <v>1919</v>
      </c>
      <c r="F20" s="9" t="s">
        <v>1966</v>
      </c>
      <c r="G20" s="9" t="s">
        <v>1967</v>
      </c>
      <c r="H20" s="9" t="s">
        <v>4</v>
      </c>
    </row>
    <row r="21">
      <c r="A21" s="1" t="s">
        <v>355</v>
      </c>
      <c r="B21" s="1" t="s">
        <v>946</v>
      </c>
      <c r="C21" s="1" t="s">
        <v>1968</v>
      </c>
      <c r="D21" s="9" t="s">
        <v>1969</v>
      </c>
      <c r="E21" s="1" t="s">
        <v>1509</v>
      </c>
      <c r="F21" s="9" t="s">
        <v>1970</v>
      </c>
      <c r="G21" s="9" t="s">
        <v>1971</v>
      </c>
      <c r="H21" s="9" t="s">
        <v>5</v>
      </c>
    </row>
    <row r="22">
      <c r="A22" s="1" t="s">
        <v>355</v>
      </c>
      <c r="B22" s="1" t="s">
        <v>946</v>
      </c>
      <c r="C22" s="1" t="s">
        <v>1972</v>
      </c>
      <c r="D22" s="9" t="s">
        <v>71</v>
      </c>
      <c r="E22" s="1" t="s">
        <v>72</v>
      </c>
      <c r="F22" s="9" t="s">
        <v>73</v>
      </c>
      <c r="G22" s="9" t="s">
        <v>74</v>
      </c>
      <c r="H22" s="9" t="s">
        <v>4</v>
      </c>
    </row>
    <row r="23">
      <c r="A23" s="1" t="s">
        <v>355</v>
      </c>
      <c r="B23" s="1" t="s">
        <v>946</v>
      </c>
      <c r="C23" s="1" t="s">
        <v>1973</v>
      </c>
      <c r="D23" s="9" t="s">
        <v>1915</v>
      </c>
      <c r="E23" s="1" t="s">
        <v>1914</v>
      </c>
      <c r="F23" s="9" t="s">
        <v>99</v>
      </c>
      <c r="G23" s="9" t="s">
        <v>22</v>
      </c>
      <c r="H23" s="9" t="s">
        <v>5</v>
      </c>
    </row>
    <row r="24">
      <c r="A24" s="1" t="s">
        <v>355</v>
      </c>
      <c r="B24" s="1" t="s">
        <v>946</v>
      </c>
      <c r="C24" s="1" t="s">
        <v>1974</v>
      </c>
      <c r="D24" s="9" t="s">
        <v>1915</v>
      </c>
      <c r="E24" s="1" t="s">
        <v>1509</v>
      </c>
      <c r="F24" s="9" t="s">
        <v>1975</v>
      </c>
      <c r="G24" s="9" t="s">
        <v>22</v>
      </c>
      <c r="H24" s="9" t="s">
        <v>3</v>
      </c>
    </row>
    <row r="25">
      <c r="A25" s="1" t="s">
        <v>355</v>
      </c>
      <c r="B25" s="1" t="s">
        <v>946</v>
      </c>
      <c r="C25" s="1" t="s">
        <v>1976</v>
      </c>
      <c r="D25" s="9" t="s">
        <v>27</v>
      </c>
      <c r="E25" s="1" t="s">
        <v>1900</v>
      </c>
      <c r="F25" s="9" t="s">
        <v>1977</v>
      </c>
      <c r="G25" s="9" t="s">
        <v>1978</v>
      </c>
      <c r="H25" s="9" t="s">
        <v>4</v>
      </c>
    </row>
    <row r="26">
      <c r="A26" s="1" t="s">
        <v>355</v>
      </c>
      <c r="B26" s="1" t="s">
        <v>946</v>
      </c>
      <c r="C26" s="1" t="s">
        <v>1979</v>
      </c>
      <c r="D26" s="9" t="s">
        <v>1980</v>
      </c>
      <c r="E26" s="1" t="s">
        <v>1981</v>
      </c>
      <c r="F26" s="9" t="s">
        <v>1982</v>
      </c>
      <c r="G26" s="9" t="s">
        <v>1983</v>
      </c>
      <c r="H26" s="9" t="s">
        <v>3</v>
      </c>
    </row>
    <row r="27">
      <c r="A27" s="1" t="s">
        <v>355</v>
      </c>
      <c r="B27" s="1" t="s">
        <v>946</v>
      </c>
      <c r="C27" s="1" t="s">
        <v>1984</v>
      </c>
      <c r="D27" s="9" t="s">
        <v>1985</v>
      </c>
      <c r="E27" s="1" t="s">
        <v>1986</v>
      </c>
      <c r="F27" s="9" t="s">
        <v>1912</v>
      </c>
      <c r="G27" s="9" t="s">
        <v>1987</v>
      </c>
      <c r="H27" s="9" t="s">
        <v>5</v>
      </c>
    </row>
    <row r="28">
      <c r="A28" s="1" t="s">
        <v>355</v>
      </c>
      <c r="B28" s="1" t="s">
        <v>946</v>
      </c>
      <c r="C28" s="1" t="s">
        <v>1988</v>
      </c>
      <c r="D28" s="9" t="s">
        <v>1909</v>
      </c>
      <c r="E28" s="1" t="s">
        <v>1910</v>
      </c>
      <c r="F28" s="9" t="s">
        <v>1911</v>
      </c>
      <c r="G28" s="9" t="s">
        <v>1912</v>
      </c>
      <c r="H28" s="9" t="s">
        <v>4</v>
      </c>
    </row>
    <row r="29">
      <c r="A29" s="1" t="s">
        <v>355</v>
      </c>
      <c r="B29" s="1" t="s">
        <v>946</v>
      </c>
      <c r="C29" s="1" t="s">
        <v>1989</v>
      </c>
      <c r="D29" s="9" t="s">
        <v>1910</v>
      </c>
      <c r="E29" s="1" t="s">
        <v>1912</v>
      </c>
      <c r="F29" s="9" t="s">
        <v>1990</v>
      </c>
      <c r="G29" s="9" t="s">
        <v>1945</v>
      </c>
      <c r="H29" s="9" t="s">
        <v>4</v>
      </c>
    </row>
    <row r="30">
      <c r="A30" s="1" t="s">
        <v>355</v>
      </c>
      <c r="B30" s="1" t="s">
        <v>946</v>
      </c>
      <c r="C30" s="1" t="s">
        <v>1991</v>
      </c>
      <c r="D30" s="11"/>
      <c r="E30" s="1" t="s">
        <v>1992</v>
      </c>
      <c r="F30" s="9" t="s">
        <v>1993</v>
      </c>
      <c r="G30" s="9" t="s">
        <v>1909</v>
      </c>
      <c r="H30" s="9" t="s">
        <v>1994</v>
      </c>
    </row>
    <row r="31">
      <c r="A31" s="1" t="s">
        <v>355</v>
      </c>
      <c r="B31" s="1" t="s">
        <v>946</v>
      </c>
      <c r="C31" s="1" t="s">
        <v>1995</v>
      </c>
      <c r="D31" s="9" t="s">
        <v>1996</v>
      </c>
      <c r="E31" s="1" t="s">
        <v>1997</v>
      </c>
      <c r="F31" s="9" t="s">
        <v>1998</v>
      </c>
      <c r="G31" s="9" t="s">
        <v>1999</v>
      </c>
      <c r="H31" s="9" t="s">
        <v>4</v>
      </c>
    </row>
    <row r="32">
      <c r="A32" s="1" t="s">
        <v>355</v>
      </c>
      <c r="B32" s="1" t="s">
        <v>946</v>
      </c>
      <c r="C32" s="1" t="s">
        <v>2000</v>
      </c>
      <c r="D32" s="9" t="s">
        <v>1509</v>
      </c>
      <c r="E32" s="1" t="s">
        <v>1191</v>
      </c>
      <c r="F32" s="9" t="s">
        <v>2001</v>
      </c>
      <c r="G32" s="9" t="s">
        <v>1925</v>
      </c>
      <c r="H32" s="9" t="s">
        <v>5</v>
      </c>
    </row>
    <row r="33">
      <c r="A33" s="1" t="s">
        <v>355</v>
      </c>
      <c r="B33" s="1" t="s">
        <v>946</v>
      </c>
      <c r="C33" s="1" t="s">
        <v>2002</v>
      </c>
      <c r="D33" s="9" t="s">
        <v>1909</v>
      </c>
      <c r="E33" s="1" t="s">
        <v>1910</v>
      </c>
      <c r="F33" s="9" t="s">
        <v>1911</v>
      </c>
      <c r="G33" s="9" t="s">
        <v>1912</v>
      </c>
      <c r="H33" s="9" t="s">
        <v>4</v>
      </c>
    </row>
    <row r="34">
      <c r="A34" s="1" t="s">
        <v>355</v>
      </c>
      <c r="B34" s="1" t="s">
        <v>946</v>
      </c>
      <c r="C34" s="1" t="s">
        <v>2003</v>
      </c>
      <c r="D34" s="9" t="s">
        <v>1914</v>
      </c>
      <c r="E34" s="1" t="s">
        <v>1915</v>
      </c>
      <c r="F34" s="9" t="s">
        <v>1509</v>
      </c>
      <c r="G34" s="9" t="s">
        <v>22</v>
      </c>
      <c r="H34" s="9" t="s">
        <v>4</v>
      </c>
    </row>
    <row r="35">
      <c r="A35" s="1" t="s">
        <v>355</v>
      </c>
      <c r="B35" s="1" t="s">
        <v>946</v>
      </c>
      <c r="C35" s="1" t="s">
        <v>2004</v>
      </c>
      <c r="D35" s="11"/>
      <c r="E35" s="1" t="s">
        <v>2005</v>
      </c>
      <c r="F35" s="9" t="s">
        <v>2006</v>
      </c>
      <c r="G35" s="9" t="s">
        <v>2007</v>
      </c>
      <c r="H35" s="9" t="s">
        <v>2008</v>
      </c>
    </row>
    <row r="36">
      <c r="A36" s="1" t="s">
        <v>355</v>
      </c>
      <c r="B36" s="1" t="s">
        <v>946</v>
      </c>
      <c r="C36" s="1" t="s">
        <v>2009</v>
      </c>
      <c r="D36" s="9" t="s">
        <v>2010</v>
      </c>
      <c r="E36" s="1" t="s">
        <v>2011</v>
      </c>
      <c r="F36" s="9" t="s">
        <v>2012</v>
      </c>
      <c r="G36" s="9" t="s">
        <v>2013</v>
      </c>
      <c r="H36" s="9" t="s">
        <v>4</v>
      </c>
    </row>
    <row r="37">
      <c r="A37" s="1" t="s">
        <v>355</v>
      </c>
      <c r="B37" s="1" t="s">
        <v>946</v>
      </c>
      <c r="C37" s="1" t="s">
        <v>2014</v>
      </c>
      <c r="D37" s="9" t="s">
        <v>1912</v>
      </c>
      <c r="E37" s="1" t="s">
        <v>1945</v>
      </c>
      <c r="F37" s="9" t="s">
        <v>1947</v>
      </c>
      <c r="G37" s="9" t="s">
        <v>1948</v>
      </c>
      <c r="H37" s="9" t="s">
        <v>4</v>
      </c>
    </row>
    <row r="38">
      <c r="A38" s="1" t="s">
        <v>355</v>
      </c>
      <c r="B38" s="1" t="s">
        <v>946</v>
      </c>
      <c r="C38" s="1" t="s">
        <v>2015</v>
      </c>
      <c r="D38" s="9" t="s">
        <v>2016</v>
      </c>
      <c r="E38" s="2">
        <v>46266.0</v>
      </c>
      <c r="F38" s="9" t="s">
        <v>2017</v>
      </c>
      <c r="G38" s="9" t="s">
        <v>2018</v>
      </c>
      <c r="H38" s="9" t="s">
        <v>4</v>
      </c>
    </row>
    <row r="39">
      <c r="A39" s="1" t="s">
        <v>355</v>
      </c>
      <c r="B39" s="1" t="s">
        <v>946</v>
      </c>
      <c r="C39" s="1" t="s">
        <v>2019</v>
      </c>
      <c r="D39" s="9" t="s">
        <v>1915</v>
      </c>
      <c r="E39" s="1" t="s">
        <v>1921</v>
      </c>
      <c r="F39" s="9" t="s">
        <v>2020</v>
      </c>
      <c r="G39" s="9" t="s">
        <v>22</v>
      </c>
      <c r="H39" s="9" t="s">
        <v>3</v>
      </c>
    </row>
    <row r="40">
      <c r="A40" s="1" t="s">
        <v>355</v>
      </c>
      <c r="B40" s="1" t="s">
        <v>946</v>
      </c>
      <c r="C40" s="1" t="s">
        <v>2021</v>
      </c>
      <c r="D40" s="9" t="s">
        <v>1910</v>
      </c>
      <c r="E40" s="1" t="s">
        <v>1912</v>
      </c>
      <c r="F40" s="9" t="s">
        <v>1945</v>
      </c>
      <c r="G40" s="9" t="s">
        <v>1911</v>
      </c>
      <c r="H40" s="9" t="s">
        <v>4</v>
      </c>
    </row>
    <row r="41">
      <c r="A41" s="1" t="s">
        <v>355</v>
      </c>
      <c r="B41" s="1" t="s">
        <v>946</v>
      </c>
      <c r="C41" s="1" t="s">
        <v>2022</v>
      </c>
      <c r="D41" s="9" t="s">
        <v>2023</v>
      </c>
      <c r="E41" s="1" t="s">
        <v>2024</v>
      </c>
      <c r="F41" s="9" t="s">
        <v>2025</v>
      </c>
      <c r="G41" s="9" t="s">
        <v>2026</v>
      </c>
      <c r="H41" s="9" t="s">
        <v>5</v>
      </c>
    </row>
    <row r="42">
      <c r="A42" s="1" t="s">
        <v>355</v>
      </c>
      <c r="B42" s="1" t="s">
        <v>946</v>
      </c>
      <c r="C42" s="1" t="s">
        <v>2027</v>
      </c>
      <c r="D42" s="9" t="s">
        <v>1932</v>
      </c>
      <c r="E42" s="1" t="s">
        <v>1552</v>
      </c>
      <c r="F42" s="9" t="s">
        <v>1551</v>
      </c>
      <c r="G42" s="9" t="s">
        <v>2028</v>
      </c>
      <c r="H42" s="9" t="s">
        <v>4</v>
      </c>
    </row>
    <row r="43">
      <c r="A43" s="1" t="s">
        <v>355</v>
      </c>
      <c r="B43" s="1" t="s">
        <v>946</v>
      </c>
      <c r="C43" s="1" t="s">
        <v>2029</v>
      </c>
      <c r="D43" s="9" t="s">
        <v>2030</v>
      </c>
      <c r="E43" s="1" t="s">
        <v>2031</v>
      </c>
      <c r="F43" s="9" t="s">
        <v>2032</v>
      </c>
      <c r="G43" s="9" t="s">
        <v>2033</v>
      </c>
      <c r="H43" s="9" t="s">
        <v>4</v>
      </c>
    </row>
    <row r="44">
      <c r="A44" s="1" t="s">
        <v>355</v>
      </c>
      <c r="B44" s="1" t="s">
        <v>946</v>
      </c>
      <c r="C44" s="1" t="s">
        <v>2034</v>
      </c>
      <c r="D44" s="11"/>
      <c r="E44" s="1" t="s">
        <v>2035</v>
      </c>
      <c r="F44" s="9" t="s">
        <v>2036</v>
      </c>
      <c r="G44" s="9" t="s">
        <v>2037</v>
      </c>
      <c r="H44" s="9" t="s">
        <v>2038</v>
      </c>
    </row>
    <row r="45">
      <c r="A45" s="1" t="s">
        <v>355</v>
      </c>
      <c r="B45" s="1" t="s">
        <v>946</v>
      </c>
      <c r="C45" s="1" t="s">
        <v>2039</v>
      </c>
      <c r="D45" s="9" t="s">
        <v>1914</v>
      </c>
      <c r="E45" s="1" t="s">
        <v>1915</v>
      </c>
      <c r="F45" s="9" t="s">
        <v>2040</v>
      </c>
      <c r="G45" s="9" t="s">
        <v>22</v>
      </c>
      <c r="H45" s="9" t="s">
        <v>4</v>
      </c>
    </row>
    <row r="46">
      <c r="A46" s="1" t="s">
        <v>355</v>
      </c>
      <c r="B46" s="1" t="s">
        <v>946</v>
      </c>
      <c r="C46" s="1" t="s">
        <v>2041</v>
      </c>
      <c r="D46" s="9" t="s">
        <v>2042</v>
      </c>
      <c r="E46" s="1" t="s">
        <v>2043</v>
      </c>
      <c r="F46" s="9" t="s">
        <v>2044</v>
      </c>
      <c r="G46" s="9" t="s">
        <v>2045</v>
      </c>
      <c r="H46" s="9" t="s">
        <v>3</v>
      </c>
    </row>
    <row r="47">
      <c r="A47" s="1" t="s">
        <v>355</v>
      </c>
      <c r="B47" s="1" t="s">
        <v>946</v>
      </c>
      <c r="C47" s="1" t="s">
        <v>2046</v>
      </c>
      <c r="D47" s="9" t="s">
        <v>2047</v>
      </c>
      <c r="E47" s="1" t="s">
        <v>1918</v>
      </c>
      <c r="F47" s="9" t="s">
        <v>1921</v>
      </c>
      <c r="G47" s="9" t="s">
        <v>22</v>
      </c>
      <c r="H47" s="9" t="s">
        <v>3</v>
      </c>
    </row>
    <row r="48">
      <c r="A48" s="1" t="s">
        <v>355</v>
      </c>
      <c r="B48" s="1" t="s">
        <v>946</v>
      </c>
      <c r="C48" s="1" t="s">
        <v>2048</v>
      </c>
      <c r="D48" s="9" t="s">
        <v>2049</v>
      </c>
      <c r="E48" s="1" t="s">
        <v>2050</v>
      </c>
      <c r="F48" s="9" t="s">
        <v>2030</v>
      </c>
      <c r="G48" s="9" t="s">
        <v>2051</v>
      </c>
      <c r="H48" s="9" t="s">
        <v>3</v>
      </c>
    </row>
    <row r="49">
      <c r="A49" s="1" t="s">
        <v>355</v>
      </c>
      <c r="B49" s="1" t="s">
        <v>946</v>
      </c>
      <c r="C49" s="1" t="s">
        <v>2052</v>
      </c>
      <c r="D49" s="9" t="s">
        <v>2053</v>
      </c>
      <c r="E49" s="1" t="s">
        <v>1911</v>
      </c>
      <c r="F49" s="9" t="s">
        <v>2054</v>
      </c>
      <c r="G49" s="9" t="s">
        <v>2055</v>
      </c>
      <c r="H49" s="9" t="s">
        <v>4</v>
      </c>
    </row>
    <row r="50">
      <c r="A50" s="1" t="s">
        <v>355</v>
      </c>
      <c r="B50" s="1" t="s">
        <v>946</v>
      </c>
      <c r="C50" s="1" t="s">
        <v>2056</v>
      </c>
      <c r="D50" s="9" t="s">
        <v>1914</v>
      </c>
      <c r="E50" s="1" t="s">
        <v>1915</v>
      </c>
      <c r="F50" s="9" t="s">
        <v>99</v>
      </c>
      <c r="G50" s="9" t="s">
        <v>22</v>
      </c>
      <c r="H50" s="9" t="s">
        <v>4</v>
      </c>
    </row>
    <row r="51">
      <c r="A51" s="1" t="s">
        <v>355</v>
      </c>
      <c r="B51" s="1" t="s">
        <v>946</v>
      </c>
      <c r="C51" s="1" t="s">
        <v>2057</v>
      </c>
      <c r="D51" s="9" t="s">
        <v>2058</v>
      </c>
      <c r="E51" s="1" t="s">
        <v>2059</v>
      </c>
      <c r="F51" s="9" t="s">
        <v>2060</v>
      </c>
      <c r="G51" s="9" t="s">
        <v>2061</v>
      </c>
      <c r="H51" s="9" t="s">
        <v>3</v>
      </c>
    </row>
    <row r="52">
      <c r="A52" s="1" t="s">
        <v>355</v>
      </c>
      <c r="B52" s="1" t="s">
        <v>946</v>
      </c>
      <c r="C52" s="1" t="s">
        <v>2062</v>
      </c>
      <c r="D52" s="9" t="s">
        <v>2063</v>
      </c>
      <c r="E52" s="1" t="s">
        <v>2064</v>
      </c>
      <c r="F52" s="9" t="s">
        <v>2065</v>
      </c>
      <c r="G52" s="9" t="s">
        <v>837</v>
      </c>
      <c r="H52" s="9" t="s">
        <v>4</v>
      </c>
    </row>
    <row r="53">
      <c r="A53" s="1" t="s">
        <v>355</v>
      </c>
      <c r="B53" s="1" t="s">
        <v>946</v>
      </c>
      <c r="C53" s="1" t="s">
        <v>2066</v>
      </c>
      <c r="D53" s="9" t="s">
        <v>2067</v>
      </c>
      <c r="E53" s="1" t="s">
        <v>2068</v>
      </c>
      <c r="F53" s="9" t="s">
        <v>837</v>
      </c>
      <c r="G53" s="9" t="s">
        <v>2069</v>
      </c>
      <c r="H53" s="9" t="s">
        <v>3</v>
      </c>
    </row>
    <row r="54">
      <c r="A54" s="1" t="s">
        <v>355</v>
      </c>
      <c r="B54" s="1" t="s">
        <v>946</v>
      </c>
      <c r="C54" s="1" t="s">
        <v>2070</v>
      </c>
      <c r="D54" s="11"/>
      <c r="E54" s="1" t="s">
        <v>2071</v>
      </c>
      <c r="F54" s="9" t="s">
        <v>2072</v>
      </c>
      <c r="G54" s="9" t="s">
        <v>2073</v>
      </c>
      <c r="H54" s="9" t="s">
        <v>2074</v>
      </c>
    </row>
    <row r="55">
      <c r="A55" s="1" t="s">
        <v>355</v>
      </c>
      <c r="B55" s="1" t="s">
        <v>946</v>
      </c>
      <c r="C55" s="1" t="s">
        <v>2075</v>
      </c>
      <c r="D55" s="9" t="s">
        <v>2076</v>
      </c>
      <c r="E55" s="10">
        <v>3.4090277777777778</v>
      </c>
      <c r="F55" s="9" t="s">
        <v>2077</v>
      </c>
      <c r="G55" s="9" t="s">
        <v>2078</v>
      </c>
      <c r="H55" s="9" t="s">
        <v>3</v>
      </c>
    </row>
    <row r="56">
      <c r="A56" s="1" t="s">
        <v>355</v>
      </c>
      <c r="B56" s="1" t="s">
        <v>946</v>
      </c>
      <c r="C56" s="1" t="s">
        <v>2079</v>
      </c>
      <c r="D56" s="9" t="s">
        <v>1975</v>
      </c>
      <c r="E56" s="1" t="s">
        <v>1509</v>
      </c>
      <c r="F56" s="9" t="s">
        <v>2080</v>
      </c>
      <c r="G56" s="9" t="s">
        <v>2081</v>
      </c>
      <c r="H56" s="9" t="s">
        <v>4</v>
      </c>
    </row>
    <row r="57">
      <c r="A57" s="1" t="s">
        <v>355</v>
      </c>
      <c r="B57" s="1" t="s">
        <v>946</v>
      </c>
      <c r="C57" s="1" t="s">
        <v>2082</v>
      </c>
      <c r="D57" s="9" t="s">
        <v>2083</v>
      </c>
      <c r="E57" s="1" t="s">
        <v>1911</v>
      </c>
      <c r="F57" s="9" t="s">
        <v>1912</v>
      </c>
      <c r="G57" s="9" t="s">
        <v>1910</v>
      </c>
      <c r="H57" s="9" t="s">
        <v>5</v>
      </c>
    </row>
    <row r="58">
      <c r="A58" s="1" t="s">
        <v>355</v>
      </c>
      <c r="B58" s="1" t="s">
        <v>946</v>
      </c>
      <c r="C58" s="1" t="s">
        <v>2084</v>
      </c>
      <c r="D58" s="9" t="s">
        <v>2085</v>
      </c>
      <c r="E58" s="1" t="s">
        <v>2086</v>
      </c>
      <c r="F58" s="9" t="s">
        <v>2087</v>
      </c>
      <c r="G58" s="9" t="s">
        <v>74</v>
      </c>
      <c r="H58" s="9" t="s">
        <v>3</v>
      </c>
    </row>
    <row r="59">
      <c r="A59" s="1" t="s">
        <v>355</v>
      </c>
      <c r="B59" s="1" t="s">
        <v>946</v>
      </c>
      <c r="C59" s="1" t="s">
        <v>2088</v>
      </c>
      <c r="D59" s="9" t="s">
        <v>1965</v>
      </c>
      <c r="E59" s="1" t="s">
        <v>1966</v>
      </c>
      <c r="F59" s="9" t="s">
        <v>1919</v>
      </c>
      <c r="G59" s="9" t="s">
        <v>1320</v>
      </c>
      <c r="H59" s="9" t="s">
        <v>5</v>
      </c>
    </row>
    <row r="60">
      <c r="A60" s="1" t="s">
        <v>355</v>
      </c>
      <c r="B60" s="1" t="s">
        <v>946</v>
      </c>
      <c r="C60" s="1" t="s">
        <v>2089</v>
      </c>
      <c r="D60" s="9" t="s">
        <v>2090</v>
      </c>
      <c r="E60" s="1" t="s">
        <v>348</v>
      </c>
      <c r="F60" s="9" t="s">
        <v>2013</v>
      </c>
      <c r="G60" s="9" t="s">
        <v>2091</v>
      </c>
      <c r="H60" s="9" t="s">
        <v>3</v>
      </c>
    </row>
    <row r="61">
      <c r="A61" s="1" t="s">
        <v>355</v>
      </c>
      <c r="B61" s="1" t="s">
        <v>946</v>
      </c>
      <c r="C61" s="1" t="s">
        <v>2092</v>
      </c>
      <c r="D61" s="9" t="s">
        <v>2093</v>
      </c>
      <c r="E61" s="1" t="s">
        <v>2094</v>
      </c>
      <c r="F61" s="9" t="s">
        <v>2095</v>
      </c>
      <c r="G61" s="9" t="s">
        <v>2096</v>
      </c>
      <c r="H61" s="9" t="s">
        <v>4</v>
      </c>
    </row>
    <row r="62">
      <c r="A62" s="1" t="s">
        <v>355</v>
      </c>
      <c r="B62" s="1" t="s">
        <v>946</v>
      </c>
      <c r="C62" s="1" t="s">
        <v>2097</v>
      </c>
      <c r="D62" s="9" t="s">
        <v>1912</v>
      </c>
      <c r="E62" s="1" t="s">
        <v>1910</v>
      </c>
      <c r="F62" s="9" t="s">
        <v>1911</v>
      </c>
      <c r="G62" s="9" t="s">
        <v>1945</v>
      </c>
      <c r="H62" s="9" t="s">
        <v>5</v>
      </c>
    </row>
    <row r="63">
      <c r="A63" s="1" t="s">
        <v>355</v>
      </c>
      <c r="B63" s="1" t="s">
        <v>946</v>
      </c>
      <c r="C63" s="1" t="s">
        <v>2098</v>
      </c>
      <c r="D63" s="9" t="s">
        <v>2099</v>
      </c>
      <c r="E63" s="1" t="s">
        <v>2100</v>
      </c>
      <c r="F63" s="9" t="s">
        <v>2101</v>
      </c>
      <c r="G63" s="9" t="s">
        <v>2102</v>
      </c>
      <c r="H63" s="9" t="s">
        <v>3</v>
      </c>
    </row>
    <row r="64">
      <c r="A64" s="1" t="s">
        <v>355</v>
      </c>
      <c r="B64" s="1" t="s">
        <v>946</v>
      </c>
      <c r="C64" s="1" t="s">
        <v>2103</v>
      </c>
      <c r="D64" s="9" t="s">
        <v>2104</v>
      </c>
      <c r="E64" s="1" t="s">
        <v>2105</v>
      </c>
      <c r="F64" s="9" t="s">
        <v>2106</v>
      </c>
      <c r="G64" s="9" t="s">
        <v>2107</v>
      </c>
      <c r="H64" s="9" t="s">
        <v>4</v>
      </c>
    </row>
    <row r="65">
      <c r="A65" s="1" t="s">
        <v>355</v>
      </c>
      <c r="B65" s="1" t="s">
        <v>946</v>
      </c>
      <c r="C65" s="1" t="s">
        <v>2108</v>
      </c>
      <c r="D65" s="9" t="s">
        <v>1915</v>
      </c>
      <c r="E65" s="1" t="s">
        <v>1914</v>
      </c>
      <c r="F65" s="9" t="s">
        <v>1509</v>
      </c>
      <c r="G65" s="9" t="s">
        <v>22</v>
      </c>
      <c r="H65" s="9" t="s">
        <v>3</v>
      </c>
    </row>
    <row r="66">
      <c r="A66" s="1" t="s">
        <v>355</v>
      </c>
      <c r="B66" s="1" t="s">
        <v>946</v>
      </c>
      <c r="C66" s="1" t="s">
        <v>2109</v>
      </c>
      <c r="D66" s="9" t="s">
        <v>2110</v>
      </c>
      <c r="E66" s="1" t="s">
        <v>2091</v>
      </c>
      <c r="F66" s="9" t="s">
        <v>2111</v>
      </c>
      <c r="G66" s="9" t="s">
        <v>2010</v>
      </c>
      <c r="H66" s="9" t="s">
        <v>4</v>
      </c>
    </row>
    <row r="67">
      <c r="A67" s="1" t="s">
        <v>355</v>
      </c>
      <c r="B67" s="1" t="s">
        <v>946</v>
      </c>
      <c r="C67" s="1" t="s">
        <v>2112</v>
      </c>
      <c r="D67" s="9" t="s">
        <v>1952</v>
      </c>
      <c r="E67" s="10">
        <v>1.0527777777777778</v>
      </c>
      <c r="F67" s="9" t="s">
        <v>2113</v>
      </c>
      <c r="G67" s="9" t="s">
        <v>2114</v>
      </c>
      <c r="H67" s="9" t="s">
        <v>3</v>
      </c>
    </row>
    <row r="68">
      <c r="A68" s="1" t="s">
        <v>355</v>
      </c>
      <c r="B68" s="1" t="s">
        <v>946</v>
      </c>
      <c r="C68" s="1" t="s">
        <v>2115</v>
      </c>
      <c r="D68" s="9" t="s">
        <v>2073</v>
      </c>
      <c r="E68" s="1">
        <v>7.0</v>
      </c>
      <c r="F68" s="9" t="s">
        <v>2116</v>
      </c>
      <c r="G68" s="9" t="s">
        <v>2072</v>
      </c>
      <c r="H68" s="9" t="s">
        <v>3</v>
      </c>
    </row>
    <row r="69">
      <c r="A69" s="1" t="s">
        <v>355</v>
      </c>
      <c r="B69" s="1" t="s">
        <v>946</v>
      </c>
      <c r="C69" s="1" t="s">
        <v>2117</v>
      </c>
      <c r="D69" s="9" t="s">
        <v>2118</v>
      </c>
      <c r="E69" s="1" t="s">
        <v>2119</v>
      </c>
      <c r="F69" s="9" t="s">
        <v>2120</v>
      </c>
      <c r="G69" s="9" t="s">
        <v>2121</v>
      </c>
      <c r="H69" s="9" t="s">
        <v>3</v>
      </c>
    </row>
    <row r="70">
      <c r="A70" s="1" t="s">
        <v>355</v>
      </c>
      <c r="B70" s="1" t="s">
        <v>946</v>
      </c>
      <c r="C70" s="1" t="s">
        <v>2122</v>
      </c>
      <c r="D70" s="9" t="s">
        <v>1925</v>
      </c>
      <c r="E70" s="1" t="s">
        <v>1191</v>
      </c>
      <c r="F70" s="9" t="s">
        <v>938</v>
      </c>
      <c r="G70" s="9" t="s">
        <v>1509</v>
      </c>
      <c r="H70" s="9" t="s">
        <v>4</v>
      </c>
    </row>
    <row r="71">
      <c r="A71" s="1" t="s">
        <v>355</v>
      </c>
      <c r="B71" s="1" t="s">
        <v>946</v>
      </c>
      <c r="C71" s="1" t="s">
        <v>2123</v>
      </c>
      <c r="D71" s="9" t="s">
        <v>2007</v>
      </c>
      <c r="E71" s="1">
        <v>20.0</v>
      </c>
      <c r="F71" s="9" t="s">
        <v>2073</v>
      </c>
      <c r="G71" s="9" t="s">
        <v>2124</v>
      </c>
      <c r="H71" s="9" t="s">
        <v>3</v>
      </c>
    </row>
    <row r="72">
      <c r="A72" s="1" t="s">
        <v>355</v>
      </c>
      <c r="B72" s="1" t="s">
        <v>946</v>
      </c>
      <c r="C72" s="1" t="s">
        <v>2125</v>
      </c>
      <c r="D72" s="9" t="s">
        <v>2126</v>
      </c>
      <c r="E72" s="1" t="s">
        <v>2127</v>
      </c>
      <c r="F72" s="9" t="s">
        <v>2128</v>
      </c>
      <c r="G72" s="9" t="s">
        <v>2129</v>
      </c>
      <c r="H72" s="9" t="s">
        <v>6</v>
      </c>
    </row>
    <row r="73">
      <c r="A73" s="1" t="s">
        <v>355</v>
      </c>
      <c r="B73" s="1" t="s">
        <v>946</v>
      </c>
      <c r="C73" s="1" t="s">
        <v>2130</v>
      </c>
      <c r="D73" s="9" t="s">
        <v>1909</v>
      </c>
      <c r="E73" s="1" t="s">
        <v>1911</v>
      </c>
      <c r="F73" s="9" t="s">
        <v>1912</v>
      </c>
      <c r="G73" s="9" t="s">
        <v>1910</v>
      </c>
      <c r="H73" s="9" t="s">
        <v>3</v>
      </c>
    </row>
    <row r="74">
      <c r="A74" s="1" t="s">
        <v>355</v>
      </c>
      <c r="B74" s="1" t="s">
        <v>946</v>
      </c>
      <c r="C74" s="1" t="s">
        <v>2131</v>
      </c>
      <c r="D74" s="9" t="s">
        <v>1945</v>
      </c>
      <c r="E74" s="1" t="s">
        <v>1912</v>
      </c>
      <c r="F74" s="9" t="s">
        <v>1948</v>
      </c>
      <c r="G74" s="9" t="s">
        <v>1947</v>
      </c>
      <c r="H74" s="9" t="s">
        <v>5</v>
      </c>
    </row>
    <row r="75">
      <c r="A75" s="1" t="s">
        <v>355</v>
      </c>
      <c r="B75" s="1" t="s">
        <v>946</v>
      </c>
      <c r="C75" s="1" t="s">
        <v>2132</v>
      </c>
      <c r="D75" s="9" t="s">
        <v>2133</v>
      </c>
      <c r="E75" s="1">
        <v>10.0</v>
      </c>
      <c r="F75" s="9" t="s">
        <v>2134</v>
      </c>
      <c r="G75" s="9" t="s">
        <v>2073</v>
      </c>
      <c r="H75" s="9" t="s">
        <v>3</v>
      </c>
    </row>
    <row r="76">
      <c r="A76" s="1" t="s">
        <v>355</v>
      </c>
      <c r="B76" s="1" t="s">
        <v>946</v>
      </c>
      <c r="C76" s="1" t="s">
        <v>2135</v>
      </c>
      <c r="D76" s="9" t="s">
        <v>1929</v>
      </c>
      <c r="E76" s="1" t="s">
        <v>1928</v>
      </c>
      <c r="F76" s="9" t="s">
        <v>1927</v>
      </c>
      <c r="G76" s="9" t="s">
        <v>1930</v>
      </c>
      <c r="H76" s="9" t="s">
        <v>5</v>
      </c>
    </row>
    <row r="77">
      <c r="A77" s="1" t="s">
        <v>355</v>
      </c>
      <c r="B77" s="1" t="s">
        <v>946</v>
      </c>
      <c r="C77" s="1" t="s">
        <v>2136</v>
      </c>
      <c r="D77" s="9" t="s">
        <v>2137</v>
      </c>
      <c r="E77" s="1" t="s">
        <v>2138</v>
      </c>
      <c r="F77" s="9" t="s">
        <v>2139</v>
      </c>
      <c r="G77" s="9" t="s">
        <v>1509</v>
      </c>
      <c r="H77" s="9" t="s">
        <v>4</v>
      </c>
    </row>
    <row r="78">
      <c r="A78" s="1" t="s">
        <v>355</v>
      </c>
      <c r="B78" s="1" t="s">
        <v>946</v>
      </c>
      <c r="C78" s="1" t="s">
        <v>2140</v>
      </c>
      <c r="D78" s="9" t="s">
        <v>2141</v>
      </c>
      <c r="E78" s="1" t="s">
        <v>1912</v>
      </c>
      <c r="F78" s="9" t="s">
        <v>2142</v>
      </c>
      <c r="G78" s="9" t="s">
        <v>2143</v>
      </c>
      <c r="H78" s="9" t="s">
        <v>3</v>
      </c>
    </row>
    <row r="79">
      <c r="A79" s="1" t="s">
        <v>355</v>
      </c>
      <c r="B79" s="1" t="s">
        <v>946</v>
      </c>
      <c r="C79" s="1" t="s">
        <v>2144</v>
      </c>
      <c r="D79" s="9" t="s">
        <v>1919</v>
      </c>
      <c r="E79" s="1" t="s">
        <v>1965</v>
      </c>
      <c r="F79" s="9" t="s">
        <v>1966</v>
      </c>
      <c r="G79" s="9" t="s">
        <v>1920</v>
      </c>
      <c r="H79" s="9" t="s">
        <v>3</v>
      </c>
    </row>
    <row r="80">
      <c r="A80" s="1" t="s">
        <v>355</v>
      </c>
      <c r="B80" s="1" t="s">
        <v>946</v>
      </c>
      <c r="C80" s="1" t="s">
        <v>2145</v>
      </c>
      <c r="D80" s="9" t="s">
        <v>2146</v>
      </c>
      <c r="E80" s="1" t="s">
        <v>2147</v>
      </c>
      <c r="F80" s="9" t="s">
        <v>1906</v>
      </c>
      <c r="G80" s="9" t="s">
        <v>1905</v>
      </c>
      <c r="H80" s="9" t="s">
        <v>3</v>
      </c>
    </row>
    <row r="81">
      <c r="A81" s="1" t="s">
        <v>355</v>
      </c>
      <c r="B81" s="1" t="s">
        <v>946</v>
      </c>
      <c r="C81" s="1" t="s">
        <v>2148</v>
      </c>
      <c r="D81" s="9" t="s">
        <v>2149</v>
      </c>
      <c r="E81" s="1" t="s">
        <v>2150</v>
      </c>
      <c r="F81" s="9" t="s">
        <v>2151</v>
      </c>
      <c r="G81" s="9" t="s">
        <v>22</v>
      </c>
      <c r="H81" s="9" t="s">
        <v>5</v>
      </c>
    </row>
    <row r="82">
      <c r="A82" s="1" t="s">
        <v>355</v>
      </c>
      <c r="B82" s="1" t="s">
        <v>946</v>
      </c>
      <c r="C82" s="1" t="s">
        <v>2152</v>
      </c>
      <c r="D82" s="11"/>
      <c r="E82" s="1" t="s">
        <v>2153</v>
      </c>
      <c r="F82" s="9" t="s">
        <v>2154</v>
      </c>
      <c r="G82" s="9" t="s">
        <v>2073</v>
      </c>
      <c r="H82" s="9" t="s">
        <v>2155</v>
      </c>
    </row>
    <row r="83">
      <c r="A83" s="1" t="s">
        <v>355</v>
      </c>
      <c r="B83" s="1" t="s">
        <v>946</v>
      </c>
      <c r="C83" s="1" t="s">
        <v>2156</v>
      </c>
      <c r="D83" s="9" t="s">
        <v>2157</v>
      </c>
      <c r="E83" s="1" t="s">
        <v>15</v>
      </c>
      <c r="F83" s="9" t="s">
        <v>2158</v>
      </c>
      <c r="G83" s="9" t="s">
        <v>2159</v>
      </c>
      <c r="H83" s="9" t="s">
        <v>3</v>
      </c>
    </row>
    <row r="84">
      <c r="A84" s="1" t="s">
        <v>355</v>
      </c>
      <c r="B84" s="1" t="s">
        <v>946</v>
      </c>
      <c r="C84" s="1" t="s">
        <v>2160</v>
      </c>
      <c r="D84" s="9" t="s">
        <v>1923</v>
      </c>
      <c r="E84" s="1" t="s">
        <v>317</v>
      </c>
      <c r="F84" s="9" t="s">
        <v>314</v>
      </c>
      <c r="G84" s="9" t="s">
        <v>1889</v>
      </c>
      <c r="H84" s="9" t="s">
        <v>3</v>
      </c>
    </row>
    <row r="85">
      <c r="A85" s="1" t="s">
        <v>355</v>
      </c>
      <c r="B85" s="1" t="s">
        <v>946</v>
      </c>
      <c r="C85" s="1" t="s">
        <v>2161</v>
      </c>
      <c r="D85" s="9" t="s">
        <v>2162</v>
      </c>
      <c r="E85" s="1" t="s">
        <v>2163</v>
      </c>
      <c r="F85" s="9" t="s">
        <v>2164</v>
      </c>
      <c r="G85" s="9" t="s">
        <v>2165</v>
      </c>
      <c r="H85" s="9" t="s">
        <v>3</v>
      </c>
    </row>
    <row r="86">
      <c r="A86" s="1" t="s">
        <v>355</v>
      </c>
      <c r="B86" s="1" t="s">
        <v>946</v>
      </c>
      <c r="C86" s="1" t="s">
        <v>2166</v>
      </c>
      <c r="D86" s="9" t="s">
        <v>2167</v>
      </c>
      <c r="E86" s="1" t="s">
        <v>2168</v>
      </c>
      <c r="F86" s="9" t="s">
        <v>2169</v>
      </c>
      <c r="G86" s="9" t="s">
        <v>2170</v>
      </c>
      <c r="H86" s="9" t="s">
        <v>3</v>
      </c>
    </row>
    <row r="87">
      <c r="A87" s="1" t="s">
        <v>355</v>
      </c>
      <c r="B87" s="1" t="s">
        <v>946</v>
      </c>
      <c r="C87" s="1" t="s">
        <v>2171</v>
      </c>
      <c r="D87" s="9" t="s">
        <v>2172</v>
      </c>
      <c r="E87" s="1" t="s">
        <v>2146</v>
      </c>
      <c r="F87" s="9" t="s">
        <v>2173</v>
      </c>
      <c r="G87" s="9" t="s">
        <v>2174</v>
      </c>
      <c r="H87" s="9" t="s">
        <v>3</v>
      </c>
    </row>
    <row r="88">
      <c r="A88" s="1" t="s">
        <v>355</v>
      </c>
      <c r="B88" s="1" t="s">
        <v>946</v>
      </c>
      <c r="C88" s="1" t="s">
        <v>2175</v>
      </c>
      <c r="D88" s="9" t="s">
        <v>2176</v>
      </c>
      <c r="E88" s="1" t="s">
        <v>2177</v>
      </c>
      <c r="F88" s="9" t="s">
        <v>2178</v>
      </c>
      <c r="G88" s="9" t="s">
        <v>2179</v>
      </c>
      <c r="H88" s="9" t="s">
        <v>3</v>
      </c>
    </row>
    <row r="89">
      <c r="A89" s="1" t="s">
        <v>355</v>
      </c>
      <c r="B89" s="1" t="s">
        <v>946</v>
      </c>
      <c r="C89" s="1" t="s">
        <v>2180</v>
      </c>
      <c r="D89" s="9" t="s">
        <v>2181</v>
      </c>
      <c r="E89" s="1">
        <v>0.0</v>
      </c>
      <c r="F89" s="9" t="s">
        <v>417</v>
      </c>
      <c r="G89" s="9" t="s">
        <v>2182</v>
      </c>
      <c r="H89" s="9" t="s">
        <v>4</v>
      </c>
    </row>
    <row r="90">
      <c r="A90" s="1" t="s">
        <v>355</v>
      </c>
      <c r="B90" s="1" t="s">
        <v>946</v>
      </c>
      <c r="C90" s="1" t="s">
        <v>2183</v>
      </c>
      <c r="D90" s="9" t="s">
        <v>1965</v>
      </c>
      <c r="E90" s="1" t="s">
        <v>1919</v>
      </c>
      <c r="F90" s="9" t="s">
        <v>1966</v>
      </c>
      <c r="G90" s="9" t="s">
        <v>1920</v>
      </c>
      <c r="H90" s="9" t="s">
        <v>5</v>
      </c>
    </row>
    <row r="91">
      <c r="A91" s="1" t="s">
        <v>355</v>
      </c>
      <c r="B91" s="1" t="s">
        <v>946</v>
      </c>
      <c r="C91" s="1" t="s">
        <v>2184</v>
      </c>
      <c r="D91" s="11"/>
      <c r="E91" s="1" t="s">
        <v>2185</v>
      </c>
      <c r="F91" s="9" t="s">
        <v>2186</v>
      </c>
      <c r="G91" s="9" t="s">
        <v>2187</v>
      </c>
      <c r="H91" s="9" t="s">
        <v>2188</v>
      </c>
    </row>
    <row r="92">
      <c r="A92" s="1" t="s">
        <v>355</v>
      </c>
      <c r="B92" s="1" t="s">
        <v>946</v>
      </c>
      <c r="C92" s="1" t="s">
        <v>2189</v>
      </c>
      <c r="D92" s="9" t="s">
        <v>2190</v>
      </c>
      <c r="E92" s="1" t="s">
        <v>2191</v>
      </c>
      <c r="F92" s="9" t="s">
        <v>2192</v>
      </c>
      <c r="G92" s="9" t="s">
        <v>2193</v>
      </c>
      <c r="H92" s="9" t="s">
        <v>4</v>
      </c>
    </row>
    <row r="93">
      <c r="A93" s="1" t="s">
        <v>355</v>
      </c>
      <c r="B93" s="1" t="s">
        <v>946</v>
      </c>
      <c r="C93" s="1" t="s">
        <v>2194</v>
      </c>
      <c r="D93" s="9" t="s">
        <v>2195</v>
      </c>
      <c r="E93" s="1" t="s">
        <v>2196</v>
      </c>
      <c r="F93" s="9" t="s">
        <v>2197</v>
      </c>
      <c r="G93" s="9" t="s">
        <v>2198</v>
      </c>
      <c r="H93" s="9" t="s">
        <v>4</v>
      </c>
    </row>
    <row r="94">
      <c r="A94" s="1" t="s">
        <v>355</v>
      </c>
      <c r="B94" s="1" t="s">
        <v>946</v>
      </c>
      <c r="C94" s="1" t="s">
        <v>2199</v>
      </c>
      <c r="D94" s="9" t="s">
        <v>1932</v>
      </c>
      <c r="E94" s="1" t="s">
        <v>1552</v>
      </c>
      <c r="F94" s="9" t="s">
        <v>2200</v>
      </c>
      <c r="G94" s="9" t="s">
        <v>2096</v>
      </c>
      <c r="H94" s="9" t="s">
        <v>3</v>
      </c>
    </row>
    <row r="95">
      <c r="A95" s="1" t="s">
        <v>355</v>
      </c>
      <c r="B95" s="1" t="s">
        <v>946</v>
      </c>
      <c r="C95" s="1" t="s">
        <v>2201</v>
      </c>
      <c r="D95" s="9" t="s">
        <v>2202</v>
      </c>
      <c r="E95" s="1" t="s">
        <v>2203</v>
      </c>
      <c r="F95" s="9" t="s">
        <v>2204</v>
      </c>
      <c r="G95" s="9" t="s">
        <v>2205</v>
      </c>
      <c r="H95" s="9" t="s">
        <v>3</v>
      </c>
    </row>
    <row r="96">
      <c r="A96" s="1" t="s">
        <v>355</v>
      </c>
      <c r="B96" s="1" t="s">
        <v>946</v>
      </c>
      <c r="C96" s="1" t="s">
        <v>2206</v>
      </c>
      <c r="D96" s="9" t="s">
        <v>2207</v>
      </c>
      <c r="E96" s="1" t="s">
        <v>2208</v>
      </c>
      <c r="F96" s="9" t="s">
        <v>2209</v>
      </c>
      <c r="G96" s="9" t="s">
        <v>2210</v>
      </c>
      <c r="H96" s="9" t="s">
        <v>3</v>
      </c>
    </row>
    <row r="97">
      <c r="A97" s="1" t="s">
        <v>355</v>
      </c>
      <c r="B97" s="1" t="s">
        <v>946</v>
      </c>
      <c r="C97" s="1" t="s">
        <v>2211</v>
      </c>
      <c r="D97" s="9" t="s">
        <v>2080</v>
      </c>
      <c r="E97" s="1" t="s">
        <v>1509</v>
      </c>
      <c r="F97" s="9" t="s">
        <v>2081</v>
      </c>
      <c r="G97" s="9" t="s">
        <v>2212</v>
      </c>
      <c r="H97" s="9" t="s">
        <v>3</v>
      </c>
    </row>
    <row r="98">
      <c r="A98" s="1" t="s">
        <v>355</v>
      </c>
      <c r="B98" s="1" t="s">
        <v>946</v>
      </c>
      <c r="C98" s="1" t="s">
        <v>2213</v>
      </c>
      <c r="D98" s="9" t="s">
        <v>1915</v>
      </c>
      <c r="E98" s="1" t="s">
        <v>1914</v>
      </c>
      <c r="F98" s="9" t="s">
        <v>1509</v>
      </c>
      <c r="G98" s="9" t="s">
        <v>22</v>
      </c>
      <c r="H98" s="9" t="s">
        <v>3</v>
      </c>
    </row>
    <row r="99">
      <c r="A99" s="1" t="s">
        <v>355</v>
      </c>
      <c r="B99" s="1" t="s">
        <v>946</v>
      </c>
      <c r="C99" s="1" t="s">
        <v>2214</v>
      </c>
      <c r="D99" s="9" t="s">
        <v>1994</v>
      </c>
      <c r="E99" s="1" t="s">
        <v>1911</v>
      </c>
      <c r="F99" s="9" t="s">
        <v>2215</v>
      </c>
      <c r="G99" s="9" t="s">
        <v>1993</v>
      </c>
      <c r="H99" s="9" t="s">
        <v>3</v>
      </c>
    </row>
    <row r="100">
      <c r="A100" s="1" t="s">
        <v>355</v>
      </c>
      <c r="B100" s="1" t="s">
        <v>946</v>
      </c>
      <c r="C100" s="1" t="s">
        <v>2216</v>
      </c>
      <c r="D100" s="9" t="s">
        <v>1945</v>
      </c>
      <c r="E100" s="1" t="s">
        <v>1948</v>
      </c>
      <c r="F100" s="9" t="s">
        <v>1912</v>
      </c>
      <c r="G100" s="9" t="s">
        <v>1911</v>
      </c>
      <c r="H100" s="9" t="s">
        <v>3</v>
      </c>
    </row>
    <row r="101">
      <c r="A101" s="1" t="s">
        <v>355</v>
      </c>
      <c r="B101" s="1" t="s">
        <v>946</v>
      </c>
      <c r="C101" s="1" t="s">
        <v>2217</v>
      </c>
      <c r="D101" s="9" t="s">
        <v>2007</v>
      </c>
      <c r="E101" s="1">
        <v>12.0</v>
      </c>
      <c r="F101" s="9" t="s">
        <v>2218</v>
      </c>
      <c r="G101" s="9" t="s">
        <v>2074</v>
      </c>
      <c r="H101" s="9" t="s">
        <v>3</v>
      </c>
    </row>
    <row r="102">
      <c r="A102" s="1" t="s">
        <v>355</v>
      </c>
      <c r="B102" s="1" t="s">
        <v>946</v>
      </c>
      <c r="C102" s="1" t="s">
        <v>2219</v>
      </c>
      <c r="D102" s="9" t="s">
        <v>2181</v>
      </c>
      <c r="E102" s="1">
        <v>2.0</v>
      </c>
      <c r="F102" s="9" t="s">
        <v>2155</v>
      </c>
      <c r="G102" s="9" t="s">
        <v>417</v>
      </c>
      <c r="H102" s="9" t="s">
        <v>4</v>
      </c>
    </row>
    <row r="103">
      <c r="A103" s="1" t="s">
        <v>355</v>
      </c>
      <c r="B103" s="1" t="s">
        <v>946</v>
      </c>
      <c r="C103" s="1" t="s">
        <v>2220</v>
      </c>
      <c r="D103" s="9" t="s">
        <v>1509</v>
      </c>
      <c r="E103" s="1" t="s">
        <v>2001</v>
      </c>
      <c r="F103" s="9" t="s">
        <v>1191</v>
      </c>
      <c r="G103" s="9" t="s">
        <v>1925</v>
      </c>
      <c r="H103" s="9" t="s">
        <v>4</v>
      </c>
    </row>
    <row r="104">
      <c r="A104" s="1" t="s">
        <v>355</v>
      </c>
      <c r="B104" s="1" t="s">
        <v>946</v>
      </c>
      <c r="C104" s="1" t="s">
        <v>2221</v>
      </c>
      <c r="D104" s="9" t="s">
        <v>2222</v>
      </c>
      <c r="E104" s="1">
        <v>5.2</v>
      </c>
      <c r="F104" s="9" t="s">
        <v>2223</v>
      </c>
      <c r="G104" s="9" t="s">
        <v>2154</v>
      </c>
      <c r="H104" s="9" t="s">
        <v>3</v>
      </c>
    </row>
    <row r="105">
      <c r="A105" s="1" t="s">
        <v>355</v>
      </c>
      <c r="B105" s="1" t="s">
        <v>946</v>
      </c>
      <c r="C105" s="1" t="s">
        <v>2224</v>
      </c>
      <c r="D105" s="9" t="s">
        <v>2225</v>
      </c>
      <c r="E105" s="1" t="s">
        <v>2226</v>
      </c>
      <c r="F105" s="9" t="s">
        <v>2227</v>
      </c>
      <c r="G105" s="9" t="s">
        <v>2228</v>
      </c>
      <c r="H105" s="9" t="s">
        <v>6</v>
      </c>
    </row>
    <row r="106">
      <c r="A106" s="1" t="s">
        <v>355</v>
      </c>
      <c r="B106" s="1" t="s">
        <v>946</v>
      </c>
      <c r="C106" s="1" t="s">
        <v>2229</v>
      </c>
      <c r="D106" s="9" t="s">
        <v>2230</v>
      </c>
      <c r="E106" s="1" t="s">
        <v>2231</v>
      </c>
      <c r="F106" s="9" t="s">
        <v>2232</v>
      </c>
      <c r="G106" s="9" t="s">
        <v>2063</v>
      </c>
      <c r="H106" s="9" t="s">
        <v>4</v>
      </c>
    </row>
    <row r="107">
      <c r="A107" s="1" t="s">
        <v>355</v>
      </c>
      <c r="B107" s="1" t="s">
        <v>946</v>
      </c>
      <c r="C107" s="1" t="s">
        <v>2233</v>
      </c>
      <c r="D107" s="9" t="s">
        <v>2205</v>
      </c>
      <c r="E107" s="1" t="s">
        <v>2203</v>
      </c>
      <c r="F107" s="9" t="s">
        <v>2234</v>
      </c>
      <c r="G107" s="9" t="s">
        <v>2235</v>
      </c>
      <c r="H107" s="9" t="s">
        <v>3</v>
      </c>
    </row>
    <row r="108">
      <c r="A108" s="1" t="s">
        <v>355</v>
      </c>
      <c r="B108" s="1" t="s">
        <v>946</v>
      </c>
      <c r="C108" s="1" t="s">
        <v>2236</v>
      </c>
      <c r="D108" s="9" t="s">
        <v>2096</v>
      </c>
      <c r="E108" s="1" t="s">
        <v>2237</v>
      </c>
      <c r="F108" s="9" t="s">
        <v>2094</v>
      </c>
      <c r="G108" s="9" t="s">
        <v>2238</v>
      </c>
      <c r="H108" s="9" t="s">
        <v>4</v>
      </c>
    </row>
    <row r="109">
      <c r="A109" s="1" t="s">
        <v>355</v>
      </c>
      <c r="B109" s="1" t="s">
        <v>946</v>
      </c>
      <c r="C109" s="1" t="s">
        <v>2239</v>
      </c>
      <c r="D109" s="9" t="s">
        <v>1911</v>
      </c>
      <c r="E109" s="1" t="s">
        <v>1912</v>
      </c>
      <c r="F109" s="9" t="s">
        <v>1910</v>
      </c>
      <c r="G109" s="9" t="s">
        <v>1945</v>
      </c>
      <c r="H109" s="9" t="s">
        <v>4</v>
      </c>
    </row>
    <row r="110">
      <c r="A110" s="1" t="s">
        <v>355</v>
      </c>
      <c r="B110" s="1" t="s">
        <v>946</v>
      </c>
      <c r="C110" s="1" t="s">
        <v>2240</v>
      </c>
      <c r="D110" s="9" t="s">
        <v>2241</v>
      </c>
      <c r="E110" s="1" t="s">
        <v>2242</v>
      </c>
      <c r="F110" s="9" t="s">
        <v>2243</v>
      </c>
      <c r="G110" s="9" t="s">
        <v>2244</v>
      </c>
      <c r="H110" s="9" t="s">
        <v>3</v>
      </c>
    </row>
    <row r="111">
      <c r="A111" s="1" t="s">
        <v>355</v>
      </c>
      <c r="B111" s="1" t="s">
        <v>946</v>
      </c>
      <c r="C111" s="1" t="s">
        <v>2245</v>
      </c>
      <c r="D111" s="9" t="s">
        <v>2246</v>
      </c>
      <c r="E111" s="2">
        <v>46146.0</v>
      </c>
      <c r="F111" s="9" t="s">
        <v>2247</v>
      </c>
      <c r="G111" s="9" t="s">
        <v>2248</v>
      </c>
      <c r="H111" s="9" t="s">
        <v>3</v>
      </c>
    </row>
    <row r="112">
      <c r="A112" s="1" t="s">
        <v>355</v>
      </c>
      <c r="B112" s="1" t="s">
        <v>946</v>
      </c>
      <c r="C112" s="1" t="s">
        <v>2249</v>
      </c>
      <c r="D112" s="9" t="s">
        <v>2250</v>
      </c>
      <c r="E112" s="1" t="s">
        <v>2251</v>
      </c>
      <c r="F112" s="9" t="s">
        <v>2252</v>
      </c>
      <c r="G112" s="9" t="s">
        <v>1919</v>
      </c>
      <c r="H112" s="9" t="s">
        <v>4</v>
      </c>
    </row>
    <row r="113">
      <c r="A113" s="1" t="s">
        <v>355</v>
      </c>
      <c r="B113" s="1" t="s">
        <v>946</v>
      </c>
      <c r="C113" s="1" t="s">
        <v>2253</v>
      </c>
      <c r="D113" s="9" t="s">
        <v>1919</v>
      </c>
      <c r="E113" s="1" t="s">
        <v>1965</v>
      </c>
      <c r="F113" s="9" t="s">
        <v>1966</v>
      </c>
      <c r="G113" s="9" t="s">
        <v>1918</v>
      </c>
      <c r="H113" s="9" t="s">
        <v>3</v>
      </c>
    </row>
    <row r="114">
      <c r="A114" s="1" t="s">
        <v>355</v>
      </c>
      <c r="B114" s="1" t="s">
        <v>946</v>
      </c>
      <c r="C114" s="1" t="s">
        <v>2254</v>
      </c>
      <c r="D114" s="9" t="s">
        <v>1915</v>
      </c>
      <c r="E114" s="1" t="s">
        <v>2255</v>
      </c>
      <c r="F114" s="9" t="s">
        <v>2256</v>
      </c>
      <c r="G114" s="9" t="s">
        <v>2040</v>
      </c>
      <c r="H114" s="9" t="s">
        <v>3</v>
      </c>
    </row>
    <row r="115">
      <c r="A115" s="1" t="s">
        <v>355</v>
      </c>
      <c r="B115" s="1" t="s">
        <v>946</v>
      </c>
      <c r="C115" s="1" t="s">
        <v>2257</v>
      </c>
      <c r="D115" s="9" t="s">
        <v>2083</v>
      </c>
      <c r="E115" s="1" t="s">
        <v>1911</v>
      </c>
      <c r="F115" s="9" t="s">
        <v>1912</v>
      </c>
      <c r="G115" s="9" t="s">
        <v>1945</v>
      </c>
      <c r="H115" s="9" t="s">
        <v>3</v>
      </c>
    </row>
    <row r="116">
      <c r="A116" s="1" t="s">
        <v>355</v>
      </c>
      <c r="B116" s="1" t="s">
        <v>946</v>
      </c>
      <c r="C116" s="1" t="s">
        <v>2258</v>
      </c>
      <c r="D116" s="9" t="s">
        <v>71</v>
      </c>
      <c r="E116" s="1" t="s">
        <v>72</v>
      </c>
      <c r="F116" s="9" t="s">
        <v>73</v>
      </c>
      <c r="G116" s="9" t="s">
        <v>111</v>
      </c>
      <c r="H116" s="9" t="s">
        <v>4</v>
      </c>
    </row>
    <row r="117">
      <c r="A117" s="1" t="s">
        <v>355</v>
      </c>
      <c r="B117" s="1" t="s">
        <v>946</v>
      </c>
      <c r="C117" s="1" t="s">
        <v>2259</v>
      </c>
      <c r="D117" s="9" t="s">
        <v>2260</v>
      </c>
      <c r="E117" s="1">
        <v>12.0</v>
      </c>
      <c r="F117" s="9" t="s">
        <v>2261</v>
      </c>
      <c r="G117" s="9" t="s">
        <v>2262</v>
      </c>
      <c r="H117" s="9" t="s">
        <v>3</v>
      </c>
    </row>
    <row r="118">
      <c r="A118" s="1" t="s">
        <v>355</v>
      </c>
      <c r="B118" s="1" t="s">
        <v>946</v>
      </c>
      <c r="C118" s="1" t="s">
        <v>2263</v>
      </c>
      <c r="D118" s="9" t="s">
        <v>2264</v>
      </c>
      <c r="E118" s="1" t="s">
        <v>2265</v>
      </c>
      <c r="F118" s="9" t="s">
        <v>2266</v>
      </c>
      <c r="G118" s="9" t="s">
        <v>2267</v>
      </c>
      <c r="H118" s="9" t="s">
        <v>3</v>
      </c>
    </row>
    <row r="119">
      <c r="A119" s="1" t="s">
        <v>355</v>
      </c>
      <c r="B119" s="1" t="s">
        <v>946</v>
      </c>
      <c r="C119" s="1" t="s">
        <v>2268</v>
      </c>
      <c r="D119" s="9" t="s">
        <v>2269</v>
      </c>
      <c r="E119" s="1" t="s">
        <v>2270</v>
      </c>
      <c r="F119" s="9" t="s">
        <v>2271</v>
      </c>
      <c r="G119" s="9" t="s">
        <v>837</v>
      </c>
      <c r="H119" s="9" t="s">
        <v>4</v>
      </c>
    </row>
    <row r="120">
      <c r="A120" s="1" t="s">
        <v>355</v>
      </c>
      <c r="B120" s="1" t="s">
        <v>946</v>
      </c>
      <c r="C120" s="1" t="s">
        <v>2272</v>
      </c>
      <c r="D120" s="9" t="s">
        <v>1234</v>
      </c>
      <c r="E120" s="1" t="s">
        <v>1975</v>
      </c>
      <c r="F120" s="9" t="s">
        <v>2273</v>
      </c>
      <c r="G120" s="9" t="s">
        <v>1971</v>
      </c>
      <c r="H120" s="9" t="s">
        <v>3</v>
      </c>
    </row>
    <row r="121">
      <c r="A121" s="1" t="s">
        <v>355</v>
      </c>
      <c r="B121" s="1" t="s">
        <v>946</v>
      </c>
      <c r="C121" s="1" t="s">
        <v>2274</v>
      </c>
      <c r="D121" s="9" t="s">
        <v>1795</v>
      </c>
      <c r="E121" s="1" t="s">
        <v>2275</v>
      </c>
      <c r="F121" s="9" t="s">
        <v>2074</v>
      </c>
      <c r="G121" s="9" t="s">
        <v>2007</v>
      </c>
      <c r="H121" s="9" t="s">
        <v>3</v>
      </c>
    </row>
    <row r="122">
      <c r="A122" s="1" t="s">
        <v>355</v>
      </c>
      <c r="B122" s="1" t="s">
        <v>946</v>
      </c>
      <c r="C122" s="1" t="s">
        <v>2276</v>
      </c>
      <c r="D122" s="9" t="s">
        <v>2277</v>
      </c>
      <c r="E122" s="1" t="s">
        <v>2278</v>
      </c>
      <c r="F122" s="9" t="s">
        <v>2279</v>
      </c>
      <c r="G122" s="9" t="s">
        <v>31</v>
      </c>
      <c r="H122" s="9" t="s">
        <v>3</v>
      </c>
    </row>
    <row r="123">
      <c r="A123" s="1" t="s">
        <v>355</v>
      </c>
      <c r="B123" s="1" t="s">
        <v>946</v>
      </c>
      <c r="C123" s="1" t="s">
        <v>2280</v>
      </c>
      <c r="D123" s="9" t="s">
        <v>2281</v>
      </c>
      <c r="E123" s="1" t="s">
        <v>2282</v>
      </c>
      <c r="F123" s="9" t="s">
        <v>2283</v>
      </c>
      <c r="G123" s="9" t="s">
        <v>22</v>
      </c>
      <c r="H123" s="9" t="s">
        <v>5</v>
      </c>
    </row>
    <row r="124">
      <c r="A124" s="1" t="s">
        <v>355</v>
      </c>
      <c r="B124" s="1" t="s">
        <v>946</v>
      </c>
      <c r="C124" s="1" t="s">
        <v>2284</v>
      </c>
      <c r="D124" s="9" t="s">
        <v>2073</v>
      </c>
      <c r="E124" s="1">
        <v>7.0</v>
      </c>
      <c r="F124" s="9" t="s">
        <v>2072</v>
      </c>
      <c r="G124" s="9" t="s">
        <v>2116</v>
      </c>
      <c r="H124" s="9" t="s">
        <v>3</v>
      </c>
    </row>
    <row r="125">
      <c r="A125" s="1" t="s">
        <v>355</v>
      </c>
      <c r="B125" s="1" t="s">
        <v>946</v>
      </c>
      <c r="C125" s="1" t="s">
        <v>2285</v>
      </c>
      <c r="D125" s="9" t="s">
        <v>2286</v>
      </c>
      <c r="E125" s="1" t="s">
        <v>2287</v>
      </c>
      <c r="F125" s="9" t="s">
        <v>2288</v>
      </c>
      <c r="G125" s="9" t="s">
        <v>2289</v>
      </c>
      <c r="H125" s="9" t="s">
        <v>3</v>
      </c>
    </row>
    <row r="126">
      <c r="A126" s="1" t="s">
        <v>355</v>
      </c>
      <c r="B126" s="1" t="s">
        <v>946</v>
      </c>
      <c r="C126" s="1" t="s">
        <v>2290</v>
      </c>
      <c r="D126" s="9" t="s">
        <v>2181</v>
      </c>
      <c r="E126" s="1">
        <v>2.0</v>
      </c>
      <c r="F126" s="9" t="s">
        <v>2155</v>
      </c>
      <c r="G126" s="9" t="s">
        <v>2262</v>
      </c>
      <c r="H126" s="9" t="s">
        <v>3</v>
      </c>
    </row>
    <row r="127">
      <c r="A127" s="1" t="s">
        <v>355</v>
      </c>
      <c r="B127" s="1" t="s">
        <v>946</v>
      </c>
      <c r="C127" s="1" t="s">
        <v>2291</v>
      </c>
      <c r="D127" s="9" t="s">
        <v>1934</v>
      </c>
      <c r="E127" s="10">
        <v>3.386111111111111</v>
      </c>
      <c r="F127" s="9" t="s">
        <v>1552</v>
      </c>
      <c r="G127" s="9" t="s">
        <v>1932</v>
      </c>
      <c r="H127" s="9" t="s">
        <v>3</v>
      </c>
    </row>
    <row r="128">
      <c r="A128" s="1" t="s">
        <v>355</v>
      </c>
      <c r="B128" s="1" t="s">
        <v>946</v>
      </c>
      <c r="C128" s="1" t="s">
        <v>2292</v>
      </c>
      <c r="D128" s="9" t="s">
        <v>2293</v>
      </c>
      <c r="E128" s="1" t="s">
        <v>2294</v>
      </c>
      <c r="F128" s="9" t="s">
        <v>2295</v>
      </c>
      <c r="G128" s="9" t="s">
        <v>2296</v>
      </c>
      <c r="H128" s="9" t="s">
        <v>4</v>
      </c>
    </row>
    <row r="129">
      <c r="A129" s="1" t="s">
        <v>355</v>
      </c>
      <c r="B129" s="1" t="s">
        <v>946</v>
      </c>
      <c r="C129" s="1" t="s">
        <v>2297</v>
      </c>
      <c r="D129" s="9" t="s">
        <v>2298</v>
      </c>
      <c r="E129" s="1" t="s">
        <v>2281</v>
      </c>
      <c r="F129" s="9" t="s">
        <v>2299</v>
      </c>
      <c r="G129" s="9" t="s">
        <v>2300</v>
      </c>
      <c r="H129" s="9" t="s">
        <v>6</v>
      </c>
    </row>
    <row r="130">
      <c r="A130" s="1" t="s">
        <v>355</v>
      </c>
      <c r="B130" s="1" t="s">
        <v>946</v>
      </c>
      <c r="C130" s="1" t="s">
        <v>2301</v>
      </c>
      <c r="D130" s="9" t="s">
        <v>2147</v>
      </c>
      <c r="E130" s="1" t="s">
        <v>2164</v>
      </c>
      <c r="F130" s="9" t="s">
        <v>2044</v>
      </c>
      <c r="G130" s="9" t="s">
        <v>2302</v>
      </c>
      <c r="H130" s="9" t="s">
        <v>3</v>
      </c>
    </row>
    <row r="131">
      <c r="A131" s="1" t="s">
        <v>355</v>
      </c>
      <c r="B131" s="1" t="s">
        <v>946</v>
      </c>
      <c r="C131" s="1" t="s">
        <v>2303</v>
      </c>
      <c r="D131" s="9" t="s">
        <v>2304</v>
      </c>
      <c r="E131" s="1" t="s">
        <v>2305</v>
      </c>
      <c r="F131" s="9" t="s">
        <v>2306</v>
      </c>
      <c r="G131" s="9" t="s">
        <v>2307</v>
      </c>
      <c r="H131" s="9" t="s">
        <v>3</v>
      </c>
    </row>
    <row r="132">
      <c r="A132" s="1" t="s">
        <v>355</v>
      </c>
      <c r="B132" s="1" t="s">
        <v>946</v>
      </c>
      <c r="C132" s="1" t="s">
        <v>2308</v>
      </c>
      <c r="D132" s="9" t="s">
        <v>2181</v>
      </c>
      <c r="E132" s="1">
        <v>2.0</v>
      </c>
      <c r="F132" s="9" t="s">
        <v>2155</v>
      </c>
      <c r="G132" s="9" t="s">
        <v>2262</v>
      </c>
      <c r="H132" s="9" t="s">
        <v>4</v>
      </c>
    </row>
    <row r="133">
      <c r="A133" s="1" t="s">
        <v>355</v>
      </c>
      <c r="B133" s="1" t="s">
        <v>946</v>
      </c>
      <c r="C133" s="1" t="s">
        <v>2309</v>
      </c>
      <c r="D133" s="9" t="s">
        <v>1509</v>
      </c>
      <c r="E133" s="1" t="s">
        <v>1971</v>
      </c>
      <c r="F133" s="9" t="s">
        <v>2273</v>
      </c>
      <c r="G133" s="9" t="s">
        <v>1975</v>
      </c>
      <c r="H133" s="9" t="s">
        <v>3</v>
      </c>
    </row>
    <row r="134">
      <c r="A134" s="1" t="s">
        <v>355</v>
      </c>
      <c r="B134" s="1" t="s">
        <v>946</v>
      </c>
      <c r="C134" s="1" t="s">
        <v>2310</v>
      </c>
      <c r="D134" s="9" t="s">
        <v>2311</v>
      </c>
      <c r="E134" s="1" t="s">
        <v>2312</v>
      </c>
      <c r="F134" s="9" t="s">
        <v>2313</v>
      </c>
      <c r="G134" s="9" t="s">
        <v>2314</v>
      </c>
      <c r="H134" s="9" t="s">
        <v>3</v>
      </c>
    </row>
    <row r="135">
      <c r="A135" s="1" t="s">
        <v>355</v>
      </c>
      <c r="B135" s="1" t="s">
        <v>946</v>
      </c>
      <c r="C135" s="1" t="s">
        <v>2315</v>
      </c>
      <c r="D135" s="9" t="s">
        <v>2044</v>
      </c>
      <c r="E135" s="1" t="s">
        <v>2163</v>
      </c>
      <c r="F135" s="9" t="s">
        <v>2316</v>
      </c>
      <c r="G135" s="9" t="s">
        <v>2162</v>
      </c>
      <c r="H135" s="9" t="s">
        <v>3</v>
      </c>
    </row>
    <row r="136">
      <c r="A136" s="1" t="s">
        <v>355</v>
      </c>
      <c r="B136" s="1" t="s">
        <v>946</v>
      </c>
      <c r="C136" s="1" t="s">
        <v>2317</v>
      </c>
      <c r="D136" s="9" t="s">
        <v>2318</v>
      </c>
      <c r="E136" s="1" t="s">
        <v>2319</v>
      </c>
      <c r="F136" s="9" t="s">
        <v>2320</v>
      </c>
      <c r="G136" s="9" t="s">
        <v>2321</v>
      </c>
      <c r="H136" s="9" t="s">
        <v>3</v>
      </c>
    </row>
    <row r="137">
      <c r="A137" s="1" t="s">
        <v>355</v>
      </c>
      <c r="B137" s="1" t="s">
        <v>946</v>
      </c>
      <c r="C137" s="1" t="s">
        <v>2322</v>
      </c>
      <c r="D137" s="9" t="s">
        <v>2155</v>
      </c>
      <c r="E137" s="1">
        <v>4.0</v>
      </c>
      <c r="F137" s="9" t="s">
        <v>2323</v>
      </c>
      <c r="G137" s="9" t="s">
        <v>2072</v>
      </c>
      <c r="H137" s="9" t="s">
        <v>3</v>
      </c>
    </row>
    <row r="138">
      <c r="A138" s="1" t="s">
        <v>355</v>
      </c>
      <c r="B138" s="1" t="s">
        <v>946</v>
      </c>
      <c r="C138" s="1" t="s">
        <v>2324</v>
      </c>
      <c r="D138" s="9" t="s">
        <v>1919</v>
      </c>
      <c r="E138" s="1" t="s">
        <v>1920</v>
      </c>
      <c r="F138" s="9" t="s">
        <v>1918</v>
      </c>
      <c r="G138" s="9" t="s">
        <v>1966</v>
      </c>
      <c r="H138" s="9" t="s">
        <v>3</v>
      </c>
    </row>
    <row r="139">
      <c r="A139" s="1" t="s">
        <v>355</v>
      </c>
      <c r="B139" s="1" t="s">
        <v>946</v>
      </c>
      <c r="C139" s="1" t="s">
        <v>2325</v>
      </c>
      <c r="D139" s="9" t="s">
        <v>2154</v>
      </c>
      <c r="E139" s="1">
        <v>5.0</v>
      </c>
      <c r="F139" s="9" t="s">
        <v>2155</v>
      </c>
      <c r="G139" s="9" t="s">
        <v>2072</v>
      </c>
      <c r="H139" s="9" t="s">
        <v>3</v>
      </c>
    </row>
    <row r="140">
      <c r="A140" s="1" t="s">
        <v>355</v>
      </c>
      <c r="B140" s="1" t="s">
        <v>946</v>
      </c>
      <c r="C140" s="1" t="s">
        <v>2326</v>
      </c>
      <c r="D140" s="9" t="s">
        <v>2327</v>
      </c>
      <c r="E140" s="1" t="s">
        <v>2328</v>
      </c>
      <c r="F140" s="9" t="s">
        <v>2329</v>
      </c>
      <c r="G140" s="9" t="s">
        <v>2330</v>
      </c>
      <c r="H140" s="9" t="s">
        <v>3</v>
      </c>
    </row>
    <row r="141">
      <c r="A141" s="1" t="s">
        <v>355</v>
      </c>
      <c r="B141" s="1" t="s">
        <v>946</v>
      </c>
      <c r="C141" s="1" t="s">
        <v>2331</v>
      </c>
      <c r="D141" s="9" t="s">
        <v>2155</v>
      </c>
      <c r="E141" s="1">
        <v>2.0</v>
      </c>
      <c r="F141" s="9" t="s">
        <v>2154</v>
      </c>
      <c r="G141" s="9" t="s">
        <v>2072</v>
      </c>
      <c r="H141" s="9" t="s">
        <v>3</v>
      </c>
    </row>
    <row r="142">
      <c r="A142" s="1" t="s">
        <v>355</v>
      </c>
      <c r="B142" s="1" t="s">
        <v>946</v>
      </c>
      <c r="C142" s="1" t="s">
        <v>2332</v>
      </c>
      <c r="D142" s="9" t="s">
        <v>1914</v>
      </c>
      <c r="E142" s="1" t="s">
        <v>2333</v>
      </c>
      <c r="F142" s="9" t="s">
        <v>1975</v>
      </c>
      <c r="G142" s="9" t="s">
        <v>22</v>
      </c>
      <c r="H142" s="9" t="s">
        <v>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806</v>
      </c>
      <c r="B2" s="1" t="s">
        <v>2334</v>
      </c>
      <c r="C2" s="1" t="s">
        <v>2335</v>
      </c>
      <c r="D2" s="1">
        <v>-6.0</v>
      </c>
      <c r="E2" s="1">
        <v>-7.0</v>
      </c>
      <c r="F2" s="1">
        <v>-13.0</v>
      </c>
      <c r="G2" s="1">
        <v>1.0</v>
      </c>
      <c r="H2" s="1">
        <v>-7.0</v>
      </c>
    </row>
    <row r="3">
      <c r="A3" s="1" t="s">
        <v>806</v>
      </c>
      <c r="B3" s="1" t="s">
        <v>2334</v>
      </c>
      <c r="C3" s="1" t="s">
        <v>2336</v>
      </c>
      <c r="D3" s="1" t="s">
        <v>892</v>
      </c>
      <c r="E3" s="1" t="s">
        <v>893</v>
      </c>
      <c r="F3" s="1" t="s">
        <v>894</v>
      </c>
      <c r="G3" s="1" t="s">
        <v>22</v>
      </c>
      <c r="H3" s="1" t="s">
        <v>893</v>
      </c>
    </row>
    <row r="4">
      <c r="A4" s="1" t="s">
        <v>806</v>
      </c>
      <c r="B4" s="1" t="s">
        <v>2334</v>
      </c>
      <c r="C4" s="1" t="s">
        <v>2337</v>
      </c>
      <c r="D4" s="1">
        <v>-12.0</v>
      </c>
      <c r="E4" s="1">
        <v>-18.0</v>
      </c>
      <c r="F4" s="1">
        <v>6.0</v>
      </c>
      <c r="G4" s="1">
        <v>-30.0</v>
      </c>
      <c r="H4" s="1">
        <v>-12.0</v>
      </c>
    </row>
    <row r="5">
      <c r="A5" s="1" t="s">
        <v>806</v>
      </c>
      <c r="B5" s="1" t="s">
        <v>2334</v>
      </c>
      <c r="C5" s="1" t="s">
        <v>2338</v>
      </c>
      <c r="D5" s="1" t="s">
        <v>2339</v>
      </c>
      <c r="E5" s="1" t="s">
        <v>1003</v>
      </c>
      <c r="F5" s="1" t="s">
        <v>2340</v>
      </c>
      <c r="G5" s="1" t="s">
        <v>2341</v>
      </c>
      <c r="H5" s="1" t="s">
        <v>1003</v>
      </c>
    </row>
    <row r="6">
      <c r="A6" s="1" t="s">
        <v>806</v>
      </c>
      <c r="B6" s="1" t="s">
        <v>2334</v>
      </c>
      <c r="C6" s="1" t="s">
        <v>2342</v>
      </c>
      <c r="D6" s="1" t="s">
        <v>952</v>
      </c>
      <c r="E6" s="1" t="s">
        <v>953</v>
      </c>
      <c r="F6" s="1" t="s">
        <v>954</v>
      </c>
      <c r="G6" s="1" t="s">
        <v>955</v>
      </c>
      <c r="H6" s="1" t="s">
        <v>954</v>
      </c>
    </row>
    <row r="7">
      <c r="A7" s="1" t="s">
        <v>806</v>
      </c>
      <c r="B7" s="1" t="s">
        <v>2334</v>
      </c>
      <c r="C7" s="1" t="s">
        <v>2343</v>
      </c>
      <c r="D7" s="1" t="s">
        <v>892</v>
      </c>
      <c r="E7" s="1" t="s">
        <v>893</v>
      </c>
      <c r="F7" s="1" t="s">
        <v>894</v>
      </c>
      <c r="G7" s="1" t="s">
        <v>895</v>
      </c>
      <c r="H7" s="1" t="s">
        <v>892</v>
      </c>
    </row>
    <row r="8">
      <c r="A8" s="1" t="s">
        <v>806</v>
      </c>
      <c r="B8" s="1" t="s">
        <v>2334</v>
      </c>
      <c r="C8" s="1" t="s">
        <v>2344</v>
      </c>
      <c r="D8" s="1">
        <v>6.0</v>
      </c>
      <c r="E8" s="1">
        <v>-5.0</v>
      </c>
      <c r="F8" s="1">
        <v>-11.0</v>
      </c>
      <c r="G8" s="1">
        <v>1.0</v>
      </c>
      <c r="H8" s="1">
        <v>6.0</v>
      </c>
    </row>
    <row r="9">
      <c r="A9" s="1" t="s">
        <v>806</v>
      </c>
      <c r="B9" s="1" t="s">
        <v>2334</v>
      </c>
      <c r="C9" s="1" t="s">
        <v>2345</v>
      </c>
      <c r="D9" s="1" t="s">
        <v>2346</v>
      </c>
      <c r="E9" s="1" t="s">
        <v>2347</v>
      </c>
      <c r="F9" s="1" t="s">
        <v>2348</v>
      </c>
      <c r="G9" s="1" t="s">
        <v>2349</v>
      </c>
      <c r="H9" s="1" t="s">
        <v>2349</v>
      </c>
    </row>
    <row r="10">
      <c r="A10" s="1" t="s">
        <v>806</v>
      </c>
      <c r="B10" s="1" t="s">
        <v>2334</v>
      </c>
      <c r="C10" s="1" t="s">
        <v>2350</v>
      </c>
      <c r="D10" s="1">
        <v>10.0</v>
      </c>
      <c r="E10" s="1">
        <v>11.0</v>
      </c>
      <c r="F10" s="1">
        <v>12.0</v>
      </c>
      <c r="G10" s="1">
        <v>13.0</v>
      </c>
      <c r="H10" s="1">
        <v>10.0</v>
      </c>
    </row>
    <row r="11">
      <c r="A11" s="1" t="s">
        <v>806</v>
      </c>
      <c r="B11" s="1" t="s">
        <v>2334</v>
      </c>
      <c r="C11" s="1" t="s">
        <v>2351</v>
      </c>
      <c r="D11" s="1" t="s">
        <v>2352</v>
      </c>
      <c r="E11" s="1" t="s">
        <v>2353</v>
      </c>
      <c r="F11" s="1" t="s">
        <v>2354</v>
      </c>
      <c r="G11" s="1" t="s">
        <v>1179</v>
      </c>
      <c r="H11" s="1" t="s">
        <v>2353</v>
      </c>
    </row>
    <row r="12">
      <c r="A12" s="1" t="s">
        <v>806</v>
      </c>
      <c r="B12" s="1" t="s">
        <v>2334</v>
      </c>
      <c r="C12" s="1" t="s">
        <v>2355</v>
      </c>
      <c r="D12" s="1">
        <v>2.0</v>
      </c>
      <c r="E12" s="1">
        <v>3.0</v>
      </c>
      <c r="F12" s="1">
        <v>4.0</v>
      </c>
      <c r="G12" s="1">
        <v>5.0</v>
      </c>
      <c r="H12" s="1">
        <v>4.0</v>
      </c>
    </row>
    <row r="13">
      <c r="A13" s="1" t="s">
        <v>806</v>
      </c>
      <c r="B13" s="1" t="s">
        <v>2334</v>
      </c>
      <c r="C13" s="1" t="s">
        <v>2356</v>
      </c>
      <c r="D13" s="1" t="s">
        <v>2357</v>
      </c>
      <c r="E13" s="1" t="s">
        <v>2358</v>
      </c>
      <c r="F13" s="1" t="s">
        <v>2359</v>
      </c>
      <c r="G13" s="1" t="s">
        <v>2360</v>
      </c>
      <c r="H13" s="1" t="s">
        <v>2357</v>
      </c>
    </row>
    <row r="14">
      <c r="A14" s="1" t="s">
        <v>806</v>
      </c>
      <c r="B14" s="1" t="s">
        <v>2334</v>
      </c>
      <c r="C14" s="1" t="s">
        <v>2361</v>
      </c>
      <c r="D14" s="1" t="s">
        <v>2362</v>
      </c>
      <c r="E14" s="1" t="s">
        <v>2363</v>
      </c>
      <c r="F14" s="1" t="s">
        <v>856</v>
      </c>
      <c r="G14" s="1" t="s">
        <v>1035</v>
      </c>
      <c r="H14" s="1" t="s">
        <v>2363</v>
      </c>
    </row>
    <row r="15">
      <c r="A15" s="1" t="s">
        <v>806</v>
      </c>
      <c r="B15" s="1" t="s">
        <v>2334</v>
      </c>
      <c r="C15" s="1" t="s">
        <v>2364</v>
      </c>
      <c r="D15" s="1" t="s">
        <v>2365</v>
      </c>
      <c r="E15" s="1" t="s">
        <v>2366</v>
      </c>
      <c r="F15" s="1" t="s">
        <v>2367</v>
      </c>
      <c r="G15" s="1" t="s">
        <v>2368</v>
      </c>
      <c r="H15" s="1" t="s">
        <v>2365</v>
      </c>
    </row>
    <row r="16">
      <c r="A16" s="1" t="s">
        <v>806</v>
      </c>
      <c r="B16" s="1" t="s">
        <v>2334</v>
      </c>
      <c r="C16" s="1" t="s">
        <v>2369</v>
      </c>
      <c r="D16" s="1" t="s">
        <v>952</v>
      </c>
      <c r="E16" s="1" t="s">
        <v>953</v>
      </c>
      <c r="F16" s="1" t="s">
        <v>954</v>
      </c>
      <c r="G16" s="1" t="s">
        <v>955</v>
      </c>
      <c r="H16" s="1" t="s">
        <v>952</v>
      </c>
    </row>
    <row r="17">
      <c r="A17" s="1" t="s">
        <v>806</v>
      </c>
      <c r="B17" s="1" t="s">
        <v>2334</v>
      </c>
      <c r="C17" s="1" t="s">
        <v>2370</v>
      </c>
      <c r="D17" s="1" t="s">
        <v>2371</v>
      </c>
      <c r="E17" s="1" t="s">
        <v>2372</v>
      </c>
      <c r="F17" s="1" t="s">
        <v>2373</v>
      </c>
      <c r="G17" s="1" t="s">
        <v>2374</v>
      </c>
      <c r="H17" s="1" t="s">
        <v>2372</v>
      </c>
    </row>
    <row r="18">
      <c r="A18" s="1" t="s">
        <v>806</v>
      </c>
      <c r="B18" s="1" t="s">
        <v>2334</v>
      </c>
      <c r="C18" s="1" t="s">
        <v>2375</v>
      </c>
      <c r="D18" s="1" t="s">
        <v>2371</v>
      </c>
      <c r="E18" s="1" t="s">
        <v>2372</v>
      </c>
      <c r="F18" s="1" t="s">
        <v>2376</v>
      </c>
      <c r="G18" s="1" t="s">
        <v>2377</v>
      </c>
      <c r="H18" s="1" t="s">
        <v>2371</v>
      </c>
    </row>
    <row r="19">
      <c r="A19" s="1" t="s">
        <v>806</v>
      </c>
      <c r="B19" s="1" t="s">
        <v>2334</v>
      </c>
      <c r="C19" s="1" t="s">
        <v>2378</v>
      </c>
      <c r="D19" s="1" t="s">
        <v>2379</v>
      </c>
      <c r="E19" s="1" t="s">
        <v>2380</v>
      </c>
      <c r="F19" s="1" t="s">
        <v>2381</v>
      </c>
      <c r="G19" s="1" t="s">
        <v>2382</v>
      </c>
      <c r="H19" s="1" t="s">
        <v>2381</v>
      </c>
    </row>
    <row r="20">
      <c r="A20" s="1" t="s">
        <v>806</v>
      </c>
      <c r="B20" s="1" t="s">
        <v>2334</v>
      </c>
      <c r="C20" s="1" t="s">
        <v>2383</v>
      </c>
      <c r="D20" s="1" t="s">
        <v>2381</v>
      </c>
      <c r="E20" s="1" t="s">
        <v>2380</v>
      </c>
      <c r="F20" s="1" t="s">
        <v>2384</v>
      </c>
      <c r="G20" s="1" t="s">
        <v>2385</v>
      </c>
      <c r="H20" s="1" t="s">
        <v>2380</v>
      </c>
    </row>
    <row r="21">
      <c r="A21" s="1" t="s">
        <v>806</v>
      </c>
      <c r="B21" s="1" t="s">
        <v>2334</v>
      </c>
      <c r="C21" s="1" t="s">
        <v>2386</v>
      </c>
      <c r="D21" s="1">
        <v>8.0</v>
      </c>
      <c r="E21" s="1">
        <v>-9.0</v>
      </c>
      <c r="F21" s="1">
        <v>-1.0</v>
      </c>
      <c r="G21" s="1">
        <v>17.0</v>
      </c>
      <c r="H21" s="1">
        <v>-9.0</v>
      </c>
    </row>
    <row r="22">
      <c r="A22" s="1" t="s">
        <v>806</v>
      </c>
      <c r="B22" s="1" t="s">
        <v>2334</v>
      </c>
      <c r="C22" s="1" t="s">
        <v>2387</v>
      </c>
      <c r="D22" s="1" t="s">
        <v>2388</v>
      </c>
      <c r="E22" s="1">
        <v>2.0</v>
      </c>
      <c r="F22" s="1">
        <v>3.0</v>
      </c>
      <c r="G22" s="1">
        <v>4.0</v>
      </c>
      <c r="H22" s="1" t="s">
        <v>2388</v>
      </c>
    </row>
    <row r="23">
      <c r="A23" s="1" t="s">
        <v>806</v>
      </c>
      <c r="B23" s="1" t="s">
        <v>2334</v>
      </c>
      <c r="C23" s="1" t="s">
        <v>2389</v>
      </c>
      <c r="D23" s="1" t="s">
        <v>2390</v>
      </c>
      <c r="E23" s="1" t="s">
        <v>2391</v>
      </c>
      <c r="F23" s="1" t="s">
        <v>2392</v>
      </c>
      <c r="G23" s="1" t="s">
        <v>22</v>
      </c>
      <c r="H23" s="1" t="s">
        <v>2390</v>
      </c>
    </row>
    <row r="24">
      <c r="A24" s="1" t="s">
        <v>806</v>
      </c>
      <c r="B24" s="1" t="s">
        <v>2334</v>
      </c>
      <c r="C24" s="1" t="s">
        <v>2393</v>
      </c>
      <c r="D24" s="1">
        <v>1.0</v>
      </c>
      <c r="E24" s="1">
        <v>2.0</v>
      </c>
      <c r="F24" s="1">
        <v>3.0</v>
      </c>
      <c r="G24" s="1">
        <v>4.0</v>
      </c>
      <c r="H24" s="1">
        <v>2.0</v>
      </c>
    </row>
    <row r="25">
      <c r="A25" s="1" t="s">
        <v>806</v>
      </c>
      <c r="B25" s="1" t="s">
        <v>2334</v>
      </c>
      <c r="C25" s="1" t="s">
        <v>2394</v>
      </c>
      <c r="D25" s="1" t="s">
        <v>952</v>
      </c>
      <c r="E25" s="1" t="s">
        <v>953</v>
      </c>
      <c r="F25" s="1" t="s">
        <v>954</v>
      </c>
      <c r="G25" s="1" t="s">
        <v>955</v>
      </c>
      <c r="H25" s="1" t="s">
        <v>954</v>
      </c>
    </row>
    <row r="26">
      <c r="A26" s="1" t="s">
        <v>806</v>
      </c>
      <c r="B26" s="1" t="s">
        <v>2334</v>
      </c>
      <c r="C26" s="1" t="s">
        <v>2395</v>
      </c>
      <c r="D26" s="1" t="s">
        <v>2396</v>
      </c>
      <c r="E26" s="1" t="s">
        <v>2397</v>
      </c>
      <c r="F26" s="1" t="s">
        <v>2398</v>
      </c>
      <c r="G26" s="1" t="s">
        <v>2399</v>
      </c>
      <c r="H26" s="1" t="s">
        <v>2396</v>
      </c>
    </row>
    <row r="27">
      <c r="A27" s="1" t="s">
        <v>806</v>
      </c>
      <c r="B27" s="1" t="s">
        <v>2334</v>
      </c>
      <c r="C27" s="1" t="s">
        <v>2400</v>
      </c>
      <c r="D27" s="1" t="s">
        <v>2401</v>
      </c>
      <c r="E27" s="1" t="s">
        <v>2402</v>
      </c>
      <c r="F27" s="1" t="s">
        <v>2403</v>
      </c>
      <c r="G27" s="1" t="s">
        <v>22</v>
      </c>
      <c r="H27" s="1" t="s">
        <v>2402</v>
      </c>
    </row>
    <row r="28">
      <c r="A28" s="1" t="s">
        <v>806</v>
      </c>
      <c r="B28" s="1" t="s">
        <v>2334</v>
      </c>
      <c r="C28" s="1" t="s">
        <v>2404</v>
      </c>
      <c r="D28" s="1">
        <v>-18.0</v>
      </c>
      <c r="E28" s="1">
        <v>-12.0</v>
      </c>
      <c r="F28" s="1">
        <v>-6.0</v>
      </c>
      <c r="G28" s="1">
        <v>30.0</v>
      </c>
      <c r="H28" s="1">
        <v>-12.0</v>
      </c>
    </row>
    <row r="29">
      <c r="A29" s="1" t="s">
        <v>806</v>
      </c>
      <c r="B29" s="1" t="s">
        <v>2334</v>
      </c>
      <c r="C29" s="1" t="s">
        <v>2405</v>
      </c>
      <c r="D29" s="1" t="s">
        <v>2371</v>
      </c>
      <c r="E29" s="1" t="s">
        <v>2372</v>
      </c>
      <c r="F29" s="1" t="s">
        <v>2377</v>
      </c>
      <c r="G29" s="1" t="s">
        <v>22</v>
      </c>
      <c r="H29" s="1" t="s">
        <v>2377</v>
      </c>
    </row>
    <row r="30">
      <c r="A30" s="1" t="s">
        <v>806</v>
      </c>
      <c r="B30" s="1" t="s">
        <v>2334</v>
      </c>
      <c r="C30" s="1" t="s">
        <v>2406</v>
      </c>
      <c r="D30" s="1">
        <v>1.0</v>
      </c>
      <c r="E30" s="1">
        <v>0.0</v>
      </c>
      <c r="F30" s="1" t="s">
        <v>2182</v>
      </c>
      <c r="G30" s="1" t="s">
        <v>417</v>
      </c>
      <c r="H30" s="1">
        <v>0.0</v>
      </c>
    </row>
    <row r="31">
      <c r="A31" s="1" t="s">
        <v>806</v>
      </c>
      <c r="B31" s="1" t="s">
        <v>2334</v>
      </c>
      <c r="C31" s="1" t="s">
        <v>2407</v>
      </c>
      <c r="D31" s="1" t="s">
        <v>2408</v>
      </c>
      <c r="E31" s="1" t="s">
        <v>2409</v>
      </c>
      <c r="F31" s="1" t="s">
        <v>2410</v>
      </c>
      <c r="G31" s="1" t="s">
        <v>2411</v>
      </c>
      <c r="H31" s="1" t="s">
        <v>2410</v>
      </c>
    </row>
    <row r="32">
      <c r="A32" s="1" t="s">
        <v>806</v>
      </c>
      <c r="B32" s="1" t="s">
        <v>2334</v>
      </c>
      <c r="C32" s="1" t="s">
        <v>2412</v>
      </c>
      <c r="D32" s="1" t="s">
        <v>952</v>
      </c>
      <c r="E32" s="1" t="s">
        <v>953</v>
      </c>
      <c r="F32" s="1" t="s">
        <v>954</v>
      </c>
      <c r="G32" s="1" t="s">
        <v>955</v>
      </c>
      <c r="H32" s="1" t="s">
        <v>952</v>
      </c>
    </row>
    <row r="33">
      <c r="A33" s="1" t="s">
        <v>806</v>
      </c>
      <c r="B33" s="1" t="s">
        <v>2334</v>
      </c>
      <c r="C33" s="1" t="s">
        <v>2413</v>
      </c>
      <c r="D33" s="1" t="s">
        <v>2414</v>
      </c>
      <c r="E33" s="1" t="s">
        <v>2415</v>
      </c>
      <c r="F33" s="1" t="s">
        <v>2416</v>
      </c>
      <c r="G33" s="1" t="s">
        <v>2417</v>
      </c>
      <c r="H33" s="1" t="s">
        <v>2414</v>
      </c>
    </row>
    <row r="34">
      <c r="A34" s="1" t="s">
        <v>806</v>
      </c>
      <c r="B34" s="1" t="s">
        <v>2334</v>
      </c>
      <c r="C34" s="1" t="s">
        <v>2418</v>
      </c>
      <c r="D34" s="1" t="s">
        <v>2419</v>
      </c>
      <c r="E34" s="1" t="s">
        <v>633</v>
      </c>
      <c r="F34" s="1" t="s">
        <v>2420</v>
      </c>
      <c r="G34" s="1" t="s">
        <v>2421</v>
      </c>
      <c r="H34" s="1" t="s">
        <v>2419</v>
      </c>
    </row>
    <row r="35">
      <c r="A35" s="1" t="s">
        <v>806</v>
      </c>
      <c r="B35" s="1" t="s">
        <v>2334</v>
      </c>
      <c r="C35" s="1" t="s">
        <v>2422</v>
      </c>
      <c r="D35" s="1">
        <v>0.0</v>
      </c>
      <c r="E35" s="1">
        <v>1.0</v>
      </c>
      <c r="F35" s="1">
        <v>2.0</v>
      </c>
      <c r="G35" s="1">
        <v>-1.0</v>
      </c>
      <c r="H35" s="1">
        <v>1.0</v>
      </c>
    </row>
    <row r="36">
      <c r="A36" s="1" t="s">
        <v>806</v>
      </c>
      <c r="B36" s="1" t="s">
        <v>2334</v>
      </c>
      <c r="C36" s="1" t="s">
        <v>2423</v>
      </c>
      <c r="D36" s="1" t="s">
        <v>2388</v>
      </c>
      <c r="E36" s="1" t="s">
        <v>2424</v>
      </c>
      <c r="F36" s="1" t="s">
        <v>2425</v>
      </c>
      <c r="G36" s="1" t="s">
        <v>2426</v>
      </c>
      <c r="H36" s="1" t="s">
        <v>2425</v>
      </c>
    </row>
    <row r="37">
      <c r="A37" s="1" t="s">
        <v>806</v>
      </c>
      <c r="B37" s="1" t="s">
        <v>2334</v>
      </c>
      <c r="C37" s="1" t="s">
        <v>2427</v>
      </c>
      <c r="D37" s="1">
        <v>21.0</v>
      </c>
      <c r="E37" s="1">
        <v>24.0</v>
      </c>
      <c r="F37" s="1">
        <v>28.0</v>
      </c>
      <c r="G37" s="1">
        <v>30.0</v>
      </c>
      <c r="H37" s="1">
        <v>24.0</v>
      </c>
    </row>
    <row r="38">
      <c r="A38" s="1" t="s">
        <v>806</v>
      </c>
      <c r="B38" s="1" t="s">
        <v>2334</v>
      </c>
      <c r="C38" s="1" t="s">
        <v>2428</v>
      </c>
      <c r="D38" s="1" t="s">
        <v>2429</v>
      </c>
      <c r="E38" s="1" t="s">
        <v>2430</v>
      </c>
      <c r="F38" s="1" t="s">
        <v>2431</v>
      </c>
      <c r="G38" s="1" t="s">
        <v>2432</v>
      </c>
      <c r="H38" s="1" t="s">
        <v>2431</v>
      </c>
    </row>
    <row r="39">
      <c r="A39" s="1" t="s">
        <v>806</v>
      </c>
      <c r="B39" s="1" t="s">
        <v>2334</v>
      </c>
      <c r="C39" s="1" t="s">
        <v>2433</v>
      </c>
      <c r="D39" s="1" t="s">
        <v>2434</v>
      </c>
      <c r="E39" s="1" t="s">
        <v>2435</v>
      </c>
      <c r="F39" s="1" t="s">
        <v>737</v>
      </c>
      <c r="G39" s="1" t="s">
        <v>2436</v>
      </c>
      <c r="H39" s="1" t="s">
        <v>2435</v>
      </c>
    </row>
    <row r="40">
      <c r="A40" s="1" t="s">
        <v>806</v>
      </c>
      <c r="B40" s="1" t="s">
        <v>2334</v>
      </c>
      <c r="C40" s="1" t="s">
        <v>2437</v>
      </c>
      <c r="D40" s="1" t="s">
        <v>2411</v>
      </c>
      <c r="E40" s="1" t="s">
        <v>2438</v>
      </c>
      <c r="F40" s="1" t="s">
        <v>2439</v>
      </c>
      <c r="G40" s="1" t="s">
        <v>2440</v>
      </c>
      <c r="H40" s="1" t="s">
        <v>2438</v>
      </c>
    </row>
    <row r="41">
      <c r="A41" s="1" t="s">
        <v>806</v>
      </c>
      <c r="B41" s="1" t="s">
        <v>2334</v>
      </c>
      <c r="C41" s="1" t="s">
        <v>2441</v>
      </c>
      <c r="D41" s="1" t="s">
        <v>2442</v>
      </c>
      <c r="E41" s="1" t="s">
        <v>2443</v>
      </c>
      <c r="F41" s="1" t="s">
        <v>2444</v>
      </c>
      <c r="G41" s="1" t="s">
        <v>2445</v>
      </c>
      <c r="H41" s="1" t="s">
        <v>2445</v>
      </c>
    </row>
    <row r="42">
      <c r="A42" s="1" t="s">
        <v>806</v>
      </c>
      <c r="B42" s="1" t="s">
        <v>2334</v>
      </c>
      <c r="C42" s="1" t="s">
        <v>2446</v>
      </c>
      <c r="D42" s="1" t="s">
        <v>1071</v>
      </c>
      <c r="E42" s="1" t="s">
        <v>1070</v>
      </c>
      <c r="F42" s="1" t="s">
        <v>961</v>
      </c>
      <c r="G42" s="1" t="s">
        <v>962</v>
      </c>
      <c r="H42" s="1" t="s">
        <v>961</v>
      </c>
    </row>
    <row r="43">
      <c r="A43" s="1" t="s">
        <v>806</v>
      </c>
      <c r="B43" s="1" t="s">
        <v>2334</v>
      </c>
      <c r="C43" s="1" t="s">
        <v>2447</v>
      </c>
      <c r="D43" s="1" t="s">
        <v>2448</v>
      </c>
      <c r="E43" s="1" t="s">
        <v>2449</v>
      </c>
      <c r="F43" s="1" t="s">
        <v>2450</v>
      </c>
      <c r="G43" s="1" t="s">
        <v>2408</v>
      </c>
      <c r="H43" s="1" t="s">
        <v>2449</v>
      </c>
    </row>
    <row r="44">
      <c r="A44" s="1" t="s">
        <v>806</v>
      </c>
      <c r="B44" s="1" t="s">
        <v>2334</v>
      </c>
      <c r="C44" s="1" t="s">
        <v>2451</v>
      </c>
      <c r="D44" s="1" t="s">
        <v>252</v>
      </c>
      <c r="E44" s="1" t="s">
        <v>250</v>
      </c>
      <c r="F44" s="1" t="s">
        <v>2452</v>
      </c>
      <c r="G44" s="1">
        <v>0.0</v>
      </c>
      <c r="H44" s="1" t="s">
        <v>252</v>
      </c>
    </row>
    <row r="45">
      <c r="A45" s="1" t="s">
        <v>806</v>
      </c>
      <c r="B45" s="1" t="s">
        <v>2334</v>
      </c>
      <c r="C45" s="1" t="s">
        <v>2453</v>
      </c>
      <c r="D45" s="1" t="s">
        <v>2454</v>
      </c>
      <c r="E45" s="1" t="s">
        <v>2376</v>
      </c>
      <c r="F45" s="1" t="s">
        <v>2377</v>
      </c>
      <c r="G45" s="1" t="s">
        <v>22</v>
      </c>
      <c r="H45" s="1" t="s">
        <v>2454</v>
      </c>
    </row>
    <row r="46">
      <c r="A46" s="1" t="s">
        <v>806</v>
      </c>
      <c r="B46" s="1" t="s">
        <v>2334</v>
      </c>
      <c r="C46" s="1" t="s">
        <v>2455</v>
      </c>
      <c r="D46" s="1" t="s">
        <v>2454</v>
      </c>
      <c r="E46" s="1" t="s">
        <v>2376</v>
      </c>
      <c r="F46" s="1" t="s">
        <v>2377</v>
      </c>
      <c r="G46" s="1" t="s">
        <v>22</v>
      </c>
      <c r="H46" s="1" t="s">
        <v>2376</v>
      </c>
    </row>
    <row r="47">
      <c r="A47" s="1" t="s">
        <v>806</v>
      </c>
      <c r="B47" s="1" t="s">
        <v>2334</v>
      </c>
      <c r="C47" s="1" t="s">
        <v>2456</v>
      </c>
      <c r="D47" s="1">
        <v>-2.0</v>
      </c>
      <c r="E47" s="1">
        <v>-5.0</v>
      </c>
      <c r="F47" s="1">
        <v>2.0</v>
      </c>
      <c r="G47" s="1">
        <v>5.0</v>
      </c>
      <c r="H47" s="1">
        <v>-5.0</v>
      </c>
    </row>
    <row r="48">
      <c r="A48" s="1" t="s">
        <v>806</v>
      </c>
      <c r="B48" s="1" t="s">
        <v>2334</v>
      </c>
      <c r="C48" s="1" t="s">
        <v>2457</v>
      </c>
      <c r="D48" s="1" t="s">
        <v>952</v>
      </c>
      <c r="E48" s="1" t="s">
        <v>953</v>
      </c>
      <c r="F48" s="1" t="s">
        <v>954</v>
      </c>
      <c r="G48" s="1" t="s">
        <v>955</v>
      </c>
      <c r="H48" s="1" t="s">
        <v>953</v>
      </c>
    </row>
    <row r="49">
      <c r="A49" s="1" t="s">
        <v>806</v>
      </c>
      <c r="B49" s="1" t="s">
        <v>2334</v>
      </c>
      <c r="C49" s="1" t="s">
        <v>2458</v>
      </c>
      <c r="D49" s="1" t="s">
        <v>952</v>
      </c>
      <c r="E49" s="1" t="s">
        <v>953</v>
      </c>
      <c r="F49" s="1" t="s">
        <v>954</v>
      </c>
      <c r="G49" s="1" t="s">
        <v>955</v>
      </c>
      <c r="H49" s="1" t="s">
        <v>952</v>
      </c>
    </row>
    <row r="50">
      <c r="A50" s="1" t="s">
        <v>806</v>
      </c>
      <c r="B50" s="1" t="s">
        <v>2334</v>
      </c>
      <c r="C50" s="1" t="s">
        <v>2459</v>
      </c>
      <c r="D50" s="1" t="s">
        <v>2460</v>
      </c>
      <c r="E50" s="1" t="s">
        <v>2461</v>
      </c>
      <c r="F50" s="1" t="s">
        <v>1051</v>
      </c>
      <c r="G50" s="1" t="s">
        <v>2462</v>
      </c>
      <c r="H50" s="1" t="s">
        <v>2460</v>
      </c>
    </row>
    <row r="51">
      <c r="A51" s="1" t="s">
        <v>806</v>
      </c>
      <c r="B51" s="1" t="s">
        <v>2334</v>
      </c>
      <c r="C51" s="1" t="s">
        <v>2463</v>
      </c>
      <c r="D51" s="1" t="s">
        <v>2464</v>
      </c>
      <c r="E51" s="1" t="s">
        <v>2465</v>
      </c>
      <c r="F51" s="1" t="s">
        <v>2466</v>
      </c>
      <c r="G51" s="1" t="s">
        <v>2467</v>
      </c>
      <c r="H51" s="1" t="s">
        <v>2464</v>
      </c>
    </row>
    <row r="52">
      <c r="A52" s="1" t="s">
        <v>806</v>
      </c>
      <c r="B52" s="1" t="s">
        <v>2334</v>
      </c>
      <c r="C52" s="1" t="s">
        <v>2468</v>
      </c>
      <c r="D52" s="1" t="s">
        <v>2469</v>
      </c>
      <c r="E52" s="1" t="s">
        <v>2470</v>
      </c>
      <c r="F52" s="1" t="s">
        <v>2471</v>
      </c>
      <c r="G52" s="1" t="s">
        <v>2472</v>
      </c>
      <c r="H52" s="1" t="s">
        <v>2471</v>
      </c>
    </row>
    <row r="53">
      <c r="A53" s="1" t="s">
        <v>806</v>
      </c>
      <c r="B53" s="1" t="s">
        <v>2334</v>
      </c>
      <c r="C53" s="1" t="s">
        <v>2473</v>
      </c>
      <c r="D53" s="1" t="s">
        <v>2474</v>
      </c>
      <c r="E53" s="1">
        <v>3.0</v>
      </c>
      <c r="F53" s="1">
        <v>-1.0</v>
      </c>
      <c r="G53" s="1">
        <v>9.0</v>
      </c>
      <c r="H53" s="1" t="s">
        <v>2474</v>
      </c>
    </row>
    <row r="54">
      <c r="A54" s="1" t="s">
        <v>806</v>
      </c>
      <c r="B54" s="1" t="s">
        <v>2334</v>
      </c>
      <c r="C54" s="1" t="s">
        <v>2475</v>
      </c>
      <c r="D54" s="1" t="s">
        <v>2476</v>
      </c>
      <c r="E54" s="1" t="s">
        <v>2477</v>
      </c>
      <c r="F54" s="1">
        <v>5.0</v>
      </c>
      <c r="G54" s="1">
        <v>1.0</v>
      </c>
      <c r="H54" s="1" t="s">
        <v>2477</v>
      </c>
    </row>
    <row r="55">
      <c r="A55" s="1" t="s">
        <v>806</v>
      </c>
      <c r="B55" s="1" t="s">
        <v>2334</v>
      </c>
      <c r="C55" s="1" t="s">
        <v>2478</v>
      </c>
      <c r="D55" s="1">
        <v>2.0</v>
      </c>
      <c r="E55" s="1">
        <v>-2.0</v>
      </c>
      <c r="F55" s="1">
        <v>1.0</v>
      </c>
      <c r="G55" s="1">
        <v>0.0</v>
      </c>
      <c r="H55" s="1">
        <v>2.0</v>
      </c>
    </row>
    <row r="56">
      <c r="A56" s="1" t="s">
        <v>806</v>
      </c>
      <c r="B56" s="1" t="s">
        <v>2334</v>
      </c>
      <c r="C56" s="1" t="s">
        <v>2479</v>
      </c>
      <c r="D56" s="1" t="s">
        <v>2454</v>
      </c>
      <c r="E56" s="1" t="s">
        <v>2376</v>
      </c>
      <c r="F56" s="1" t="s">
        <v>99</v>
      </c>
      <c r="G56" s="1" t="s">
        <v>2480</v>
      </c>
      <c r="H56" s="1" t="s">
        <v>2376</v>
      </c>
    </row>
    <row r="57">
      <c r="A57" s="1" t="s">
        <v>806</v>
      </c>
      <c r="B57" s="1" t="s">
        <v>2334</v>
      </c>
      <c r="C57" s="1" t="s">
        <v>2481</v>
      </c>
      <c r="D57" s="1" t="s">
        <v>2346</v>
      </c>
      <c r="E57" s="1" t="s">
        <v>2347</v>
      </c>
      <c r="F57" s="1" t="s">
        <v>2482</v>
      </c>
      <c r="G57" s="1" t="s">
        <v>2483</v>
      </c>
      <c r="H57" s="1" t="s">
        <v>2346</v>
      </c>
    </row>
    <row r="58">
      <c r="A58" s="1" t="s">
        <v>806</v>
      </c>
      <c r="B58" s="1" t="s">
        <v>2334</v>
      </c>
      <c r="C58" s="1" t="s">
        <v>2484</v>
      </c>
      <c r="D58" s="1">
        <v>-12.0</v>
      </c>
      <c r="E58" s="1">
        <v>-18.0</v>
      </c>
      <c r="F58" s="1">
        <v>6.0</v>
      </c>
      <c r="G58" s="1">
        <v>-30.0</v>
      </c>
      <c r="H58" s="1">
        <v>-18.0</v>
      </c>
    </row>
    <row r="59">
      <c r="A59" s="1" t="s">
        <v>806</v>
      </c>
      <c r="B59" s="1" t="s">
        <v>2334</v>
      </c>
      <c r="C59" s="1" t="s">
        <v>2485</v>
      </c>
      <c r="D59" s="1">
        <v>3.0</v>
      </c>
      <c r="E59" s="1">
        <v>5.0</v>
      </c>
      <c r="F59" s="1">
        <v>8.0</v>
      </c>
      <c r="G59" s="1">
        <v>2.0</v>
      </c>
      <c r="H59" s="1">
        <v>3.0</v>
      </c>
    </row>
    <row r="60">
      <c r="A60" s="1" t="s">
        <v>806</v>
      </c>
      <c r="B60" s="1" t="s">
        <v>2334</v>
      </c>
      <c r="C60" s="1" t="s">
        <v>2486</v>
      </c>
      <c r="D60" s="1">
        <v>3.0</v>
      </c>
      <c r="E60" s="1">
        <v>5.0</v>
      </c>
      <c r="F60" s="1">
        <v>8.0</v>
      </c>
      <c r="G60" s="1">
        <v>2.0</v>
      </c>
      <c r="H60" s="1">
        <v>5.0</v>
      </c>
    </row>
    <row r="61">
      <c r="A61" s="1" t="s">
        <v>806</v>
      </c>
      <c r="B61" s="1" t="s">
        <v>2334</v>
      </c>
      <c r="C61" s="1" t="s">
        <v>2487</v>
      </c>
      <c r="D61" s="1" t="s">
        <v>2448</v>
      </c>
      <c r="E61" s="1" t="s">
        <v>2449</v>
      </c>
      <c r="F61" s="1" t="s">
        <v>2488</v>
      </c>
      <c r="G61" s="1" t="s">
        <v>2408</v>
      </c>
      <c r="H61" s="1" t="s">
        <v>2449</v>
      </c>
    </row>
    <row r="62">
      <c r="A62" s="1" t="s">
        <v>806</v>
      </c>
      <c r="B62" s="1" t="s">
        <v>2334</v>
      </c>
      <c r="C62" s="1" t="s">
        <v>2489</v>
      </c>
      <c r="D62" s="1" t="s">
        <v>1071</v>
      </c>
      <c r="E62" s="1" t="s">
        <v>1070</v>
      </c>
      <c r="F62" s="1" t="s">
        <v>961</v>
      </c>
      <c r="G62" s="1" t="s">
        <v>962</v>
      </c>
      <c r="H62" s="1" t="s">
        <v>961</v>
      </c>
    </row>
    <row r="63">
      <c r="A63" s="1" t="s">
        <v>806</v>
      </c>
      <c r="B63" s="1" t="s">
        <v>2334</v>
      </c>
      <c r="C63" s="1" t="s">
        <v>2490</v>
      </c>
      <c r="D63" s="1" t="s">
        <v>2434</v>
      </c>
      <c r="E63" s="1" t="s">
        <v>2491</v>
      </c>
      <c r="F63" s="1" t="s">
        <v>737</v>
      </c>
      <c r="G63" s="1" t="s">
        <v>2492</v>
      </c>
      <c r="H63" s="1" t="s">
        <v>2491</v>
      </c>
    </row>
    <row r="64">
      <c r="A64" s="1" t="s">
        <v>806</v>
      </c>
      <c r="B64" s="1" t="s">
        <v>2334</v>
      </c>
      <c r="C64" s="1" t="s">
        <v>2493</v>
      </c>
      <c r="D64" s="1" t="s">
        <v>2494</v>
      </c>
      <c r="E64" s="1" t="s">
        <v>2495</v>
      </c>
      <c r="F64" s="1" t="s">
        <v>2496</v>
      </c>
      <c r="G64" s="1" t="s">
        <v>2497</v>
      </c>
      <c r="H64" s="1" t="s">
        <v>2495</v>
      </c>
    </row>
    <row r="65">
      <c r="A65" s="1" t="s">
        <v>806</v>
      </c>
      <c r="B65" s="1" t="s">
        <v>2334</v>
      </c>
      <c r="C65" s="1" t="s">
        <v>2498</v>
      </c>
      <c r="D65" s="1" t="s">
        <v>2429</v>
      </c>
      <c r="E65" s="1" t="s">
        <v>2430</v>
      </c>
      <c r="F65" s="1" t="s">
        <v>2431</v>
      </c>
      <c r="G65" s="1" t="s">
        <v>2432</v>
      </c>
      <c r="H65" s="1" t="s">
        <v>2431</v>
      </c>
    </row>
    <row r="66">
      <c r="A66" s="1" t="s">
        <v>806</v>
      </c>
      <c r="B66" s="1" t="s">
        <v>2334</v>
      </c>
      <c r="C66" s="1" t="s">
        <v>2499</v>
      </c>
      <c r="D66" s="1" t="s">
        <v>2500</v>
      </c>
      <c r="E66" s="1" t="s">
        <v>2501</v>
      </c>
      <c r="F66" s="1" t="s">
        <v>2502</v>
      </c>
      <c r="G66" s="1" t="s">
        <v>2503</v>
      </c>
      <c r="H66" s="1" t="s">
        <v>2501</v>
      </c>
    </row>
    <row r="67">
      <c r="A67" s="1" t="s">
        <v>806</v>
      </c>
      <c r="B67" s="1" t="s">
        <v>2334</v>
      </c>
      <c r="C67" s="1" t="s">
        <v>2504</v>
      </c>
      <c r="D67" s="1" t="s">
        <v>952</v>
      </c>
      <c r="E67" s="1" t="s">
        <v>953</v>
      </c>
      <c r="F67" s="1" t="s">
        <v>954</v>
      </c>
      <c r="G67" s="1" t="s">
        <v>955</v>
      </c>
      <c r="H67" s="1" t="s">
        <v>954</v>
      </c>
    </row>
    <row r="68">
      <c r="A68" s="1" t="s">
        <v>806</v>
      </c>
      <c r="B68" s="1" t="s">
        <v>2334</v>
      </c>
      <c r="C68" s="1" t="s">
        <v>2505</v>
      </c>
      <c r="D68" s="1" t="s">
        <v>2506</v>
      </c>
      <c r="E68" s="1" t="s">
        <v>2507</v>
      </c>
      <c r="F68" s="1" t="s">
        <v>2508</v>
      </c>
      <c r="G68" s="1" t="s">
        <v>2509</v>
      </c>
      <c r="H68" s="1" t="s">
        <v>2506</v>
      </c>
    </row>
    <row r="69">
      <c r="A69" s="1" t="s">
        <v>806</v>
      </c>
      <c r="B69" s="1" t="s">
        <v>2334</v>
      </c>
      <c r="C69" s="1" t="s">
        <v>2510</v>
      </c>
      <c r="D69" s="1" t="s">
        <v>2469</v>
      </c>
      <c r="E69" s="1" t="s">
        <v>2470</v>
      </c>
      <c r="F69" s="1" t="s">
        <v>2511</v>
      </c>
      <c r="G69" s="1" t="s">
        <v>2512</v>
      </c>
      <c r="H69" s="1" t="s">
        <v>2512</v>
      </c>
    </row>
    <row r="70">
      <c r="A70" s="1" t="s">
        <v>806</v>
      </c>
      <c r="B70" s="1" t="s">
        <v>2334</v>
      </c>
      <c r="C70" s="1" t="s">
        <v>2513</v>
      </c>
      <c r="D70" s="1" t="s">
        <v>2514</v>
      </c>
      <c r="E70" s="1" t="s">
        <v>2515</v>
      </c>
      <c r="F70" s="1" t="s">
        <v>1209</v>
      </c>
      <c r="G70" s="1" t="s">
        <v>2516</v>
      </c>
      <c r="H70" s="1" t="s">
        <v>2514</v>
      </c>
    </row>
    <row r="71">
      <c r="A71" s="1" t="s">
        <v>806</v>
      </c>
      <c r="B71" s="1" t="s">
        <v>2334</v>
      </c>
      <c r="C71" s="1" t="s">
        <v>2517</v>
      </c>
      <c r="D71" s="1" t="s">
        <v>2093</v>
      </c>
      <c r="E71" s="1" t="s">
        <v>2518</v>
      </c>
      <c r="F71" s="1" t="s">
        <v>1552</v>
      </c>
      <c r="G71" s="1" t="s">
        <v>1551</v>
      </c>
      <c r="H71" s="1" t="s">
        <v>2518</v>
      </c>
    </row>
    <row r="72">
      <c r="A72" s="1" t="s">
        <v>806</v>
      </c>
      <c r="B72" s="1" t="s">
        <v>2334</v>
      </c>
      <c r="C72" s="1" t="s">
        <v>2519</v>
      </c>
      <c r="D72" s="1" t="s">
        <v>2520</v>
      </c>
      <c r="E72" s="1" t="s">
        <v>2521</v>
      </c>
      <c r="F72" s="1" t="s">
        <v>2522</v>
      </c>
      <c r="G72" s="1" t="s">
        <v>2415</v>
      </c>
      <c r="H72" s="1" t="s">
        <v>2520</v>
      </c>
    </row>
    <row r="73">
      <c r="A73" s="1" t="s">
        <v>806</v>
      </c>
      <c r="B73" s="1" t="s">
        <v>2334</v>
      </c>
      <c r="C73" s="1" t="s">
        <v>2523</v>
      </c>
      <c r="D73" s="1" t="s">
        <v>71</v>
      </c>
      <c r="E73" s="1" t="s">
        <v>72</v>
      </c>
      <c r="F73" s="1" t="s">
        <v>2524</v>
      </c>
      <c r="G73" s="1" t="s">
        <v>22</v>
      </c>
      <c r="H73" s="1" t="s">
        <v>71</v>
      </c>
    </row>
    <row r="74">
      <c r="A74" s="1" t="s">
        <v>806</v>
      </c>
      <c r="B74" s="1" t="s">
        <v>2334</v>
      </c>
      <c r="C74" s="1" t="s">
        <v>2525</v>
      </c>
      <c r="D74" s="1">
        <v>6.0</v>
      </c>
      <c r="E74" s="1">
        <v>-5.0</v>
      </c>
      <c r="F74" s="1">
        <v>-11.0</v>
      </c>
      <c r="G74" s="1">
        <v>1.0</v>
      </c>
      <c r="H74" s="1">
        <v>6.0</v>
      </c>
    </row>
    <row r="75">
      <c r="A75" s="1" t="s">
        <v>806</v>
      </c>
      <c r="B75" s="1" t="s">
        <v>2334</v>
      </c>
      <c r="C75" s="1" t="s">
        <v>2526</v>
      </c>
      <c r="D75" s="1" t="s">
        <v>2527</v>
      </c>
      <c r="E75" s="1" t="s">
        <v>2528</v>
      </c>
      <c r="F75" s="1" t="s">
        <v>2529</v>
      </c>
      <c r="G75" s="1" t="s">
        <v>2530</v>
      </c>
      <c r="H75" s="1" t="s">
        <v>2529</v>
      </c>
    </row>
    <row r="76">
      <c r="A76" s="1" t="s">
        <v>806</v>
      </c>
      <c r="B76" s="1" t="s">
        <v>2334</v>
      </c>
      <c r="C76" s="1" t="s">
        <v>2531</v>
      </c>
      <c r="D76" s="1" t="s">
        <v>2532</v>
      </c>
      <c r="E76" s="1" t="s">
        <v>2533</v>
      </c>
      <c r="F76" s="1" t="s">
        <v>2534</v>
      </c>
      <c r="G76" s="1" t="s">
        <v>2535</v>
      </c>
      <c r="H76" s="1" t="s">
        <v>2536</v>
      </c>
    </row>
    <row r="77">
      <c r="A77" s="1" t="s">
        <v>806</v>
      </c>
      <c r="B77" s="1" t="s">
        <v>2334</v>
      </c>
      <c r="C77" s="1" t="s">
        <v>2537</v>
      </c>
      <c r="D77" s="1" t="s">
        <v>2371</v>
      </c>
      <c r="E77" s="1" t="s">
        <v>2372</v>
      </c>
      <c r="F77" s="1" t="s">
        <v>2454</v>
      </c>
      <c r="G77" s="1" t="s">
        <v>2376</v>
      </c>
      <c r="H77" s="1" t="s">
        <v>2454</v>
      </c>
    </row>
    <row r="78">
      <c r="A78" s="1" t="s">
        <v>806</v>
      </c>
      <c r="B78" s="1" t="s">
        <v>2334</v>
      </c>
      <c r="C78" s="1" t="s">
        <v>2538</v>
      </c>
      <c r="D78" s="1" t="s">
        <v>2371</v>
      </c>
      <c r="E78" s="1" t="s">
        <v>2372</v>
      </c>
      <c r="F78" s="1" t="s">
        <v>2454</v>
      </c>
      <c r="G78" s="1" t="s">
        <v>2376</v>
      </c>
      <c r="H78" s="1" t="s">
        <v>2376</v>
      </c>
    </row>
    <row r="79">
      <c r="A79" s="1" t="s">
        <v>806</v>
      </c>
      <c r="B79" s="1" t="s">
        <v>2334</v>
      </c>
      <c r="C79" s="1" t="s">
        <v>2539</v>
      </c>
      <c r="D79" s="1" t="s">
        <v>2540</v>
      </c>
      <c r="E79" s="1" t="s">
        <v>2541</v>
      </c>
      <c r="F79" s="1" t="s">
        <v>2542</v>
      </c>
      <c r="G79" s="1" t="s">
        <v>2543</v>
      </c>
      <c r="H79" s="1" t="s">
        <v>2542</v>
      </c>
    </row>
    <row r="80">
      <c r="A80" s="1" t="s">
        <v>806</v>
      </c>
      <c r="B80" s="1" t="s">
        <v>2334</v>
      </c>
      <c r="C80" s="1" t="s">
        <v>2544</v>
      </c>
      <c r="D80" s="1" t="s">
        <v>2545</v>
      </c>
      <c r="E80" s="1" t="s">
        <v>2546</v>
      </c>
      <c r="F80" s="1" t="s">
        <v>2547</v>
      </c>
      <c r="G80" s="1" t="s">
        <v>2548</v>
      </c>
      <c r="H80" s="1" t="s">
        <v>2545</v>
      </c>
    </row>
    <row r="81">
      <c r="A81" s="1" t="s">
        <v>806</v>
      </c>
      <c r="B81" s="1" t="s">
        <v>2334</v>
      </c>
      <c r="C81" s="1" t="s">
        <v>2549</v>
      </c>
      <c r="D81" s="1" t="s">
        <v>2550</v>
      </c>
      <c r="E81" s="1" t="s">
        <v>2551</v>
      </c>
      <c r="F81" s="1" t="s">
        <v>2552</v>
      </c>
      <c r="G81" s="1" t="s">
        <v>2553</v>
      </c>
      <c r="H81" s="1" t="s">
        <v>2550</v>
      </c>
    </row>
    <row r="82">
      <c r="A82" s="1" t="s">
        <v>806</v>
      </c>
      <c r="B82" s="1" t="s">
        <v>2334</v>
      </c>
      <c r="C82" s="1" t="s">
        <v>2554</v>
      </c>
      <c r="D82" s="1" t="s">
        <v>2550</v>
      </c>
      <c r="E82" s="1" t="s">
        <v>2551</v>
      </c>
      <c r="F82" s="1" t="s">
        <v>2552</v>
      </c>
      <c r="G82" s="1" t="s">
        <v>2553</v>
      </c>
      <c r="H82" s="1" t="s">
        <v>2551</v>
      </c>
    </row>
    <row r="83">
      <c r="A83" s="1" t="s">
        <v>806</v>
      </c>
      <c r="B83" s="1" t="s">
        <v>2334</v>
      </c>
      <c r="C83" s="1" t="s">
        <v>2555</v>
      </c>
      <c r="D83" s="1" t="s">
        <v>2550</v>
      </c>
      <c r="E83" s="1" t="s">
        <v>2551</v>
      </c>
      <c r="F83" s="1" t="s">
        <v>2552</v>
      </c>
      <c r="G83" s="1" t="s">
        <v>2553</v>
      </c>
      <c r="H83" s="1" t="s">
        <v>2552</v>
      </c>
    </row>
    <row r="84">
      <c r="A84" s="1" t="s">
        <v>806</v>
      </c>
      <c r="B84" s="1" t="s">
        <v>2334</v>
      </c>
      <c r="C84" s="1" t="s">
        <v>2556</v>
      </c>
      <c r="D84" s="1" t="s">
        <v>2550</v>
      </c>
      <c r="E84" s="1" t="s">
        <v>2551</v>
      </c>
      <c r="F84" s="1" t="s">
        <v>2552</v>
      </c>
      <c r="G84" s="1" t="s">
        <v>2553</v>
      </c>
      <c r="H84" s="1" t="s">
        <v>2553</v>
      </c>
    </row>
    <row r="85">
      <c r="A85" s="1" t="s">
        <v>806</v>
      </c>
      <c r="B85" s="1" t="s">
        <v>2334</v>
      </c>
      <c r="C85" s="1" t="s">
        <v>2557</v>
      </c>
      <c r="D85" s="1">
        <v>1.0</v>
      </c>
      <c r="E85" s="1" t="s">
        <v>498</v>
      </c>
      <c r="F85" s="1">
        <v>0.0</v>
      </c>
      <c r="G85" s="1">
        <v>-1.0</v>
      </c>
      <c r="H85" s="1">
        <v>0.0</v>
      </c>
    </row>
    <row r="86">
      <c r="A86" s="1" t="s">
        <v>806</v>
      </c>
      <c r="B86" s="1" t="s">
        <v>2334</v>
      </c>
      <c r="C86" s="1" t="s">
        <v>2558</v>
      </c>
      <c r="D86" s="1">
        <v>1.0</v>
      </c>
      <c r="E86" s="1" t="s">
        <v>1883</v>
      </c>
      <c r="F86" s="1">
        <v>0.0</v>
      </c>
      <c r="G86" s="1">
        <v>-1.0</v>
      </c>
      <c r="H86" s="1">
        <v>0.0</v>
      </c>
    </row>
    <row r="87">
      <c r="A87" s="1" t="s">
        <v>806</v>
      </c>
      <c r="B87" s="1" t="s">
        <v>2334</v>
      </c>
      <c r="C87" s="1" t="s">
        <v>2559</v>
      </c>
      <c r="D87" s="1" t="s">
        <v>2346</v>
      </c>
      <c r="E87" s="1" t="s">
        <v>2347</v>
      </c>
      <c r="F87" s="1" t="s">
        <v>2560</v>
      </c>
      <c r="G87" s="1" t="s">
        <v>2483</v>
      </c>
      <c r="H87" s="1" t="s">
        <v>2347</v>
      </c>
    </row>
    <row r="88">
      <c r="A88" s="1" t="s">
        <v>806</v>
      </c>
      <c r="B88" s="1" t="s">
        <v>2334</v>
      </c>
      <c r="C88" s="1" t="s">
        <v>2561</v>
      </c>
      <c r="D88" s="1" t="s">
        <v>2346</v>
      </c>
      <c r="E88" s="1" t="s">
        <v>2347</v>
      </c>
      <c r="F88" s="1" t="s">
        <v>2560</v>
      </c>
      <c r="G88" s="1" t="s">
        <v>2562</v>
      </c>
      <c r="H88" s="1" t="s">
        <v>2346</v>
      </c>
    </row>
    <row r="89">
      <c r="A89" s="1" t="s">
        <v>806</v>
      </c>
      <c r="B89" s="1" t="s">
        <v>2334</v>
      </c>
      <c r="C89" s="1" t="s">
        <v>2563</v>
      </c>
      <c r="D89" s="1" t="s">
        <v>2564</v>
      </c>
      <c r="E89" s="1" t="s">
        <v>2565</v>
      </c>
      <c r="F89" s="1" t="s">
        <v>2566</v>
      </c>
      <c r="G89" s="1" t="s">
        <v>2567</v>
      </c>
      <c r="H89" s="1" t="s">
        <v>2565</v>
      </c>
    </row>
    <row r="90">
      <c r="A90" s="1" t="s">
        <v>806</v>
      </c>
      <c r="B90" s="1" t="s">
        <v>2334</v>
      </c>
      <c r="C90" s="1" t="s">
        <v>2568</v>
      </c>
      <c r="D90" s="1" t="s">
        <v>2569</v>
      </c>
      <c r="E90" s="1" t="s">
        <v>2570</v>
      </c>
      <c r="F90" s="1" t="s">
        <v>2571</v>
      </c>
      <c r="G90" s="1" t="s">
        <v>2572</v>
      </c>
      <c r="H90" s="1" t="s">
        <v>2570</v>
      </c>
    </row>
    <row r="91">
      <c r="A91" s="1" t="s">
        <v>806</v>
      </c>
      <c r="B91" s="1" t="s">
        <v>2334</v>
      </c>
      <c r="C91" s="1" t="s">
        <v>2573</v>
      </c>
      <c r="D91" s="1" t="s">
        <v>2574</v>
      </c>
      <c r="E91" s="1" t="s">
        <v>2575</v>
      </c>
      <c r="F91" s="1" t="s">
        <v>2576</v>
      </c>
      <c r="G91" s="1" t="s">
        <v>2577</v>
      </c>
      <c r="H91" s="1" t="s">
        <v>2574</v>
      </c>
    </row>
    <row r="92">
      <c r="A92" s="1" t="s">
        <v>806</v>
      </c>
      <c r="B92" s="1" t="s">
        <v>2334</v>
      </c>
      <c r="C92" s="1" t="s">
        <v>2578</v>
      </c>
      <c r="D92" s="1" t="s">
        <v>2579</v>
      </c>
      <c r="E92" s="1" t="s">
        <v>2580</v>
      </c>
      <c r="F92" s="1" t="s">
        <v>2581</v>
      </c>
      <c r="G92" s="1" t="s">
        <v>22</v>
      </c>
      <c r="H92" s="1" t="s">
        <v>2580</v>
      </c>
    </row>
    <row r="93">
      <c r="A93" s="1" t="s">
        <v>806</v>
      </c>
      <c r="B93" s="1" t="s">
        <v>2334</v>
      </c>
      <c r="C93" s="1" t="s">
        <v>2582</v>
      </c>
      <c r="D93" s="1">
        <v>1.0</v>
      </c>
      <c r="E93" s="1" t="s">
        <v>2583</v>
      </c>
      <c r="F93" s="1" t="s">
        <v>2182</v>
      </c>
      <c r="G93" s="1" t="s">
        <v>2584</v>
      </c>
      <c r="H93" s="1" t="s">
        <v>2584</v>
      </c>
    </row>
    <row r="94">
      <c r="A94" s="1" t="s">
        <v>806</v>
      </c>
      <c r="B94" s="1" t="s">
        <v>2334</v>
      </c>
      <c r="C94" s="1" t="s">
        <v>2585</v>
      </c>
      <c r="D94" s="1" t="s">
        <v>1777</v>
      </c>
      <c r="E94" s="1">
        <v>2.0</v>
      </c>
      <c r="F94" s="1" t="s">
        <v>2586</v>
      </c>
      <c r="G94" s="1">
        <v>4.0</v>
      </c>
      <c r="H94" s="1" t="s">
        <v>1777</v>
      </c>
    </row>
    <row r="95">
      <c r="A95" s="1" t="s">
        <v>806</v>
      </c>
      <c r="B95" s="1" t="s">
        <v>2334</v>
      </c>
      <c r="C95" s="1" t="s">
        <v>2423</v>
      </c>
      <c r="D95" s="1" t="s">
        <v>1777</v>
      </c>
      <c r="E95" s="1" t="s">
        <v>2586</v>
      </c>
      <c r="F95" s="1" t="s">
        <v>2587</v>
      </c>
      <c r="G95" s="1" t="s">
        <v>2588</v>
      </c>
      <c r="H95" s="1" t="s">
        <v>2586</v>
      </c>
    </row>
    <row r="96">
      <c r="A96" s="1" t="s">
        <v>806</v>
      </c>
      <c r="B96" s="1" t="s">
        <v>2334</v>
      </c>
      <c r="C96" s="1" t="s">
        <v>2589</v>
      </c>
      <c r="D96" s="1" t="s">
        <v>2590</v>
      </c>
      <c r="E96" s="1" t="s">
        <v>2591</v>
      </c>
      <c r="F96" s="1" t="s">
        <v>2592</v>
      </c>
      <c r="G96" s="1">
        <v>0.0</v>
      </c>
      <c r="H96" s="1" t="s">
        <v>2590</v>
      </c>
    </row>
    <row r="97">
      <c r="A97" s="1" t="s">
        <v>806</v>
      </c>
      <c r="B97" s="1" t="s">
        <v>2334</v>
      </c>
      <c r="C97" s="1" t="s">
        <v>2593</v>
      </c>
      <c r="D97" s="1" t="s">
        <v>1050</v>
      </c>
      <c r="E97" s="1" t="s">
        <v>2515</v>
      </c>
      <c r="F97" s="1" t="s">
        <v>1052</v>
      </c>
      <c r="G97" s="1" t="s">
        <v>2339</v>
      </c>
      <c r="H97" s="1" t="s">
        <v>1050</v>
      </c>
    </row>
    <row r="98">
      <c r="A98" s="1" t="s">
        <v>806</v>
      </c>
      <c r="B98" s="1" t="s">
        <v>2334</v>
      </c>
      <c r="C98" s="1" t="s">
        <v>2594</v>
      </c>
      <c r="D98" s="1" t="s">
        <v>1003</v>
      </c>
      <c r="E98" s="1" t="s">
        <v>2339</v>
      </c>
      <c r="F98" s="1" t="s">
        <v>2595</v>
      </c>
      <c r="G98" s="1" t="s">
        <v>2368</v>
      </c>
      <c r="H98" s="1" t="s">
        <v>1003</v>
      </c>
    </row>
    <row r="99">
      <c r="A99" s="1" t="s">
        <v>806</v>
      </c>
      <c r="B99" s="1" t="s">
        <v>2334</v>
      </c>
      <c r="C99" s="1" t="s">
        <v>2596</v>
      </c>
      <c r="D99" s="1">
        <v>21.0</v>
      </c>
      <c r="E99" s="1">
        <v>24.0</v>
      </c>
      <c r="F99" s="1">
        <v>48.0</v>
      </c>
      <c r="G99" s="1">
        <v>12.0</v>
      </c>
      <c r="H99" s="1">
        <v>24.0</v>
      </c>
    </row>
    <row r="100">
      <c r="A100" s="1" t="s">
        <v>806</v>
      </c>
      <c r="B100" s="1" t="s">
        <v>2334</v>
      </c>
      <c r="C100" s="1" t="s">
        <v>2597</v>
      </c>
      <c r="D100" s="1" t="s">
        <v>893</v>
      </c>
      <c r="E100" s="1" t="s">
        <v>892</v>
      </c>
      <c r="F100" s="1" t="s">
        <v>2598</v>
      </c>
      <c r="G100" s="1" t="s">
        <v>2599</v>
      </c>
      <c r="H100" s="1" t="s">
        <v>892</v>
      </c>
    </row>
    <row r="101">
      <c r="A101" s="1" t="s">
        <v>806</v>
      </c>
      <c r="B101" s="1" t="s">
        <v>2334</v>
      </c>
      <c r="C101" s="1" t="s">
        <v>2600</v>
      </c>
      <c r="D101" s="1" t="s">
        <v>892</v>
      </c>
      <c r="E101" s="1" t="s">
        <v>893</v>
      </c>
      <c r="F101" s="1" t="s">
        <v>894</v>
      </c>
      <c r="G101" s="1" t="s">
        <v>895</v>
      </c>
      <c r="H101" s="1" t="s">
        <v>893</v>
      </c>
    </row>
    <row r="102">
      <c r="A102" s="1" t="s">
        <v>806</v>
      </c>
      <c r="B102" s="1" t="s">
        <v>2334</v>
      </c>
      <c r="C102" s="1" t="s">
        <v>2601</v>
      </c>
      <c r="D102" s="1">
        <v>1.0</v>
      </c>
      <c r="E102" s="1">
        <v>-1.0</v>
      </c>
      <c r="F102" s="1">
        <v>0.0</v>
      </c>
      <c r="G102" s="1" t="s">
        <v>2602</v>
      </c>
      <c r="H102" s="1">
        <v>0.0</v>
      </c>
    </row>
    <row r="103">
      <c r="A103" s="1" t="s">
        <v>806</v>
      </c>
      <c r="B103" s="1" t="s">
        <v>2334</v>
      </c>
      <c r="C103" s="1" t="s">
        <v>2603</v>
      </c>
      <c r="D103" s="1" t="s">
        <v>2372</v>
      </c>
      <c r="E103" s="1" t="s">
        <v>2371</v>
      </c>
      <c r="F103" s="1" t="s">
        <v>2604</v>
      </c>
      <c r="G103" s="1" t="s">
        <v>2298</v>
      </c>
      <c r="H103" s="1" t="s">
        <v>2605</v>
      </c>
    </row>
    <row r="104">
      <c r="A104" s="1" t="s">
        <v>806</v>
      </c>
      <c r="B104" s="1" t="s">
        <v>2334</v>
      </c>
      <c r="C104" s="1" t="s">
        <v>2606</v>
      </c>
      <c r="D104" s="1">
        <v>6.0</v>
      </c>
      <c r="E104" s="1">
        <v>-5.0</v>
      </c>
      <c r="F104" s="1">
        <v>1.0</v>
      </c>
      <c r="G104" s="1">
        <v>-11.0</v>
      </c>
      <c r="H104" s="1">
        <v>6.0</v>
      </c>
    </row>
    <row r="105">
      <c r="A105" s="1" t="s">
        <v>806</v>
      </c>
      <c r="B105" s="1" t="s">
        <v>2334</v>
      </c>
      <c r="C105" s="1" t="s">
        <v>2607</v>
      </c>
      <c r="D105" s="1">
        <v>-3.0</v>
      </c>
      <c r="E105" s="1">
        <v>-4.0</v>
      </c>
      <c r="F105" s="1">
        <v>7.0</v>
      </c>
      <c r="G105" s="1">
        <v>1.0</v>
      </c>
      <c r="H105" s="1">
        <v>-4.0</v>
      </c>
    </row>
    <row r="106">
      <c r="A106" s="1" t="s">
        <v>806</v>
      </c>
      <c r="B106" s="1" t="s">
        <v>2334</v>
      </c>
      <c r="C106" s="1" t="s">
        <v>2608</v>
      </c>
      <c r="D106" s="1" t="s">
        <v>2609</v>
      </c>
      <c r="E106" s="1" t="s">
        <v>2577</v>
      </c>
      <c r="F106" s="1" t="s">
        <v>2610</v>
      </c>
      <c r="G106" s="1" t="s">
        <v>2611</v>
      </c>
      <c r="H106" s="1" t="s">
        <v>2577</v>
      </c>
    </row>
    <row r="107">
      <c r="A107" s="1" t="s">
        <v>806</v>
      </c>
      <c r="B107" s="1" t="s">
        <v>2334</v>
      </c>
      <c r="C107" s="1" t="s">
        <v>2612</v>
      </c>
      <c r="D107" s="1" t="s">
        <v>2613</v>
      </c>
      <c r="E107" s="1" t="s">
        <v>2614</v>
      </c>
      <c r="F107" s="1" t="s">
        <v>2515</v>
      </c>
      <c r="G107" s="1" t="s">
        <v>2615</v>
      </c>
      <c r="H107" s="1" t="s">
        <v>2613</v>
      </c>
    </row>
    <row r="108">
      <c r="A108" s="1" t="s">
        <v>806</v>
      </c>
      <c r="B108" s="1" t="s">
        <v>2334</v>
      </c>
      <c r="C108" s="1" t="s">
        <v>2616</v>
      </c>
      <c r="D108" s="1" t="s">
        <v>2598</v>
      </c>
      <c r="E108" s="1" t="s">
        <v>2599</v>
      </c>
      <c r="F108" s="1" t="s">
        <v>895</v>
      </c>
      <c r="G108" s="1" t="s">
        <v>894</v>
      </c>
      <c r="H108" s="1" t="s">
        <v>2599</v>
      </c>
    </row>
    <row r="109">
      <c r="A109" s="1" t="s">
        <v>806</v>
      </c>
      <c r="B109" s="1" t="s">
        <v>2334</v>
      </c>
      <c r="C109" s="1" t="s">
        <v>2617</v>
      </c>
      <c r="D109" s="1" t="s">
        <v>2618</v>
      </c>
      <c r="E109" s="1" t="s">
        <v>2598</v>
      </c>
      <c r="F109" s="1" t="s">
        <v>2619</v>
      </c>
      <c r="G109" s="1" t="s">
        <v>857</v>
      </c>
      <c r="H109" s="1" t="s">
        <v>2598</v>
      </c>
    </row>
    <row r="110">
      <c r="A110" s="1" t="s">
        <v>806</v>
      </c>
      <c r="B110" s="1" t="s">
        <v>2334</v>
      </c>
      <c r="C110" s="1" t="s">
        <v>2620</v>
      </c>
      <c r="D110" s="1">
        <v>5.0</v>
      </c>
      <c r="E110" s="1" t="s">
        <v>2588</v>
      </c>
      <c r="F110" s="1">
        <v>10.0</v>
      </c>
      <c r="G110" s="1" t="s">
        <v>16</v>
      </c>
      <c r="H110" s="1" t="s">
        <v>2588</v>
      </c>
    </row>
    <row r="111">
      <c r="A111" s="1" t="s">
        <v>806</v>
      </c>
      <c r="B111" s="1" t="s">
        <v>2334</v>
      </c>
      <c r="C111" s="1" t="s">
        <v>2621</v>
      </c>
      <c r="D111" s="1" t="s">
        <v>2622</v>
      </c>
      <c r="E111" s="1" t="s">
        <v>894</v>
      </c>
      <c r="F111" s="1" t="s">
        <v>2623</v>
      </c>
      <c r="G111" s="1" t="s">
        <v>895</v>
      </c>
      <c r="H111" s="1" t="s">
        <v>2622</v>
      </c>
    </row>
    <row r="112">
      <c r="A112" s="1" t="s">
        <v>806</v>
      </c>
      <c r="B112" s="1" t="s">
        <v>2334</v>
      </c>
      <c r="C112" s="1" t="s">
        <v>2624</v>
      </c>
      <c r="D112" s="1">
        <v>3.0</v>
      </c>
      <c r="E112" s="1">
        <v>4.0</v>
      </c>
      <c r="F112" s="1">
        <v>5.0</v>
      </c>
      <c r="G112" s="1">
        <v>7.0</v>
      </c>
      <c r="H112" s="1">
        <v>5.0</v>
      </c>
    </row>
    <row r="113">
      <c r="A113" s="1" t="s">
        <v>806</v>
      </c>
      <c r="B113" s="1" t="s">
        <v>2334</v>
      </c>
      <c r="C113" s="1" t="s">
        <v>2625</v>
      </c>
      <c r="D113" s="1">
        <v>15.0</v>
      </c>
      <c r="E113" s="1">
        <v>8.0</v>
      </c>
      <c r="F113" s="1">
        <v>17.0</v>
      </c>
      <c r="G113" s="1">
        <v>23.0</v>
      </c>
      <c r="H113" s="1">
        <v>17.0</v>
      </c>
    </row>
    <row r="114">
      <c r="A114" s="1" t="s">
        <v>806</v>
      </c>
      <c r="B114" s="1" t="s">
        <v>2334</v>
      </c>
      <c r="C114" s="1" t="s">
        <v>2626</v>
      </c>
      <c r="D114" s="1" t="s">
        <v>1920</v>
      </c>
      <c r="E114" s="1" t="s">
        <v>2627</v>
      </c>
      <c r="F114" s="1" t="s">
        <v>1921</v>
      </c>
      <c r="G114" s="1" t="s">
        <v>22</v>
      </c>
      <c r="H114" s="1" t="s">
        <v>2627</v>
      </c>
    </row>
    <row r="115">
      <c r="A115" s="1" t="s">
        <v>806</v>
      </c>
      <c r="B115" s="1" t="s">
        <v>2334</v>
      </c>
      <c r="C115" s="1" t="s">
        <v>2628</v>
      </c>
      <c r="D115" s="1">
        <v>4.0</v>
      </c>
      <c r="E115" s="1">
        <v>6.0</v>
      </c>
      <c r="F115" s="1">
        <v>7.0</v>
      </c>
      <c r="G115" s="1">
        <v>8.0</v>
      </c>
      <c r="H115" s="1">
        <v>7.0</v>
      </c>
    </row>
    <row r="116">
      <c r="A116" s="1" t="s">
        <v>806</v>
      </c>
      <c r="B116" s="1" t="s">
        <v>2334</v>
      </c>
      <c r="C116" s="1" t="s">
        <v>2629</v>
      </c>
      <c r="D116" s="5" t="str">
        <f>+ (प्लस)</f>
        <v>#ERROR!</v>
      </c>
      <c r="E116" s="1" t="s">
        <v>2630</v>
      </c>
      <c r="F116" s="1" t="s">
        <v>2631</v>
      </c>
      <c r="G116" s="1" t="s">
        <v>2632</v>
      </c>
      <c r="H116" s="1" t="s">
        <v>2630</v>
      </c>
    </row>
    <row r="117">
      <c r="A117" s="1" t="s">
        <v>806</v>
      </c>
      <c r="B117" s="1" t="s">
        <v>2334</v>
      </c>
      <c r="C117" s="1" t="s">
        <v>2633</v>
      </c>
      <c r="D117" s="1" t="s">
        <v>2371</v>
      </c>
      <c r="E117" s="1" t="s">
        <v>2372</v>
      </c>
      <c r="F117" s="1" t="s">
        <v>2377</v>
      </c>
      <c r="G117" s="1" t="s">
        <v>2634</v>
      </c>
      <c r="H117" s="1" t="s">
        <v>2377</v>
      </c>
    </row>
    <row r="118">
      <c r="A118" s="1" t="s">
        <v>806</v>
      </c>
      <c r="B118" s="1" t="s">
        <v>2334</v>
      </c>
      <c r="C118" s="1" t="s">
        <v>2635</v>
      </c>
      <c r="D118" s="1" t="s">
        <v>2341</v>
      </c>
      <c r="E118" s="1" t="s">
        <v>2340</v>
      </c>
      <c r="F118" s="1" t="s">
        <v>2339</v>
      </c>
      <c r="G118" s="1" t="s">
        <v>1003</v>
      </c>
      <c r="H118" s="1" t="s">
        <v>1003</v>
      </c>
    </row>
    <row r="119">
      <c r="A119" s="1" t="s">
        <v>806</v>
      </c>
      <c r="B119" s="1" t="s">
        <v>2334</v>
      </c>
      <c r="C119" s="1" t="s">
        <v>2636</v>
      </c>
      <c r="D119" s="1">
        <v>9.0</v>
      </c>
      <c r="E119" s="1" t="s">
        <v>2637</v>
      </c>
      <c r="F119" s="1">
        <v>3.0</v>
      </c>
      <c r="G119" s="1">
        <v>1.0</v>
      </c>
      <c r="H119" s="1" t="s">
        <v>2637</v>
      </c>
    </row>
    <row r="120">
      <c r="A120" s="1" t="s">
        <v>806</v>
      </c>
      <c r="B120" s="1" t="s">
        <v>2334</v>
      </c>
      <c r="C120" s="1" t="s">
        <v>2638</v>
      </c>
      <c r="D120" s="1" t="s">
        <v>27</v>
      </c>
      <c r="E120" s="1" t="s">
        <v>2639</v>
      </c>
      <c r="F120" s="1" t="s">
        <v>2640</v>
      </c>
      <c r="G120" s="1">
        <v>0.0</v>
      </c>
      <c r="H120" s="1" t="s">
        <v>2639</v>
      </c>
    </row>
    <row r="121">
      <c r="A121" s="1" t="s">
        <v>806</v>
      </c>
      <c r="B121" s="1" t="s">
        <v>2334</v>
      </c>
      <c r="C121" s="1" t="s">
        <v>2641</v>
      </c>
      <c r="D121" s="1" t="s">
        <v>2357</v>
      </c>
      <c r="E121" s="1" t="s">
        <v>2359</v>
      </c>
      <c r="F121" s="1" t="s">
        <v>2360</v>
      </c>
      <c r="G121" s="1" t="s">
        <v>2642</v>
      </c>
      <c r="H121" s="1" t="s">
        <v>2357</v>
      </c>
    </row>
    <row r="122">
      <c r="A122" s="1" t="s">
        <v>806</v>
      </c>
      <c r="B122" s="1" t="s">
        <v>2334</v>
      </c>
      <c r="C122" s="1" t="s">
        <v>2643</v>
      </c>
      <c r="D122" s="1">
        <v>4.0</v>
      </c>
      <c r="E122" s="1">
        <v>5.0</v>
      </c>
      <c r="F122" s="1">
        <v>1.0</v>
      </c>
      <c r="G122" s="1">
        <v>3.0</v>
      </c>
      <c r="H122" s="1">
        <v>5.0</v>
      </c>
    </row>
    <row r="123">
      <c r="A123" s="1" t="s">
        <v>806</v>
      </c>
      <c r="B123" s="1" t="s">
        <v>2334</v>
      </c>
      <c r="C123" s="1" t="s">
        <v>2644</v>
      </c>
      <c r="D123" s="1" t="s">
        <v>2645</v>
      </c>
      <c r="E123" s="1" t="s">
        <v>2646</v>
      </c>
      <c r="F123" s="1" t="s">
        <v>2398</v>
      </c>
      <c r="G123" s="1" t="s">
        <v>2399</v>
      </c>
      <c r="H123" s="1" t="s">
        <v>2645</v>
      </c>
    </row>
    <row r="124">
      <c r="A124" s="1" t="s">
        <v>806</v>
      </c>
      <c r="B124" s="1" t="s">
        <v>2334</v>
      </c>
      <c r="C124" s="1" t="s">
        <v>2647</v>
      </c>
      <c r="D124" s="1" t="s">
        <v>1927</v>
      </c>
      <c r="E124" s="1" t="s">
        <v>2648</v>
      </c>
      <c r="F124" s="1" t="s">
        <v>2649</v>
      </c>
      <c r="G124" s="1" t="s">
        <v>2650</v>
      </c>
      <c r="H124" s="1" t="s">
        <v>2649</v>
      </c>
    </row>
    <row r="125">
      <c r="A125" s="1" t="s">
        <v>806</v>
      </c>
      <c r="B125" s="1" t="s">
        <v>2334</v>
      </c>
      <c r="C125" s="1" t="s">
        <v>2413</v>
      </c>
      <c r="D125" s="1" t="s">
        <v>2414</v>
      </c>
      <c r="E125" s="1" t="s">
        <v>2415</v>
      </c>
      <c r="F125" s="1" t="s">
        <v>2416</v>
      </c>
      <c r="G125" s="1" t="s">
        <v>2417</v>
      </c>
      <c r="H125" s="1" t="s">
        <v>2414</v>
      </c>
    </row>
    <row r="126">
      <c r="A126" s="1" t="s">
        <v>806</v>
      </c>
      <c r="B126" s="1" t="s">
        <v>2334</v>
      </c>
      <c r="C126" s="1" t="s">
        <v>2651</v>
      </c>
      <c r="D126" s="1" t="s">
        <v>1071</v>
      </c>
      <c r="E126" s="1" t="s">
        <v>1070</v>
      </c>
      <c r="F126" s="1" t="s">
        <v>2652</v>
      </c>
      <c r="G126" s="1" t="s">
        <v>2653</v>
      </c>
      <c r="H126" s="1" t="s">
        <v>2652</v>
      </c>
    </row>
    <row r="127">
      <c r="A127" s="1" t="s">
        <v>806</v>
      </c>
      <c r="B127" s="1" t="s">
        <v>2334</v>
      </c>
      <c r="C127" s="1" t="s">
        <v>2654</v>
      </c>
      <c r="D127" s="1" t="s">
        <v>2093</v>
      </c>
      <c r="E127" s="1" t="s">
        <v>1552</v>
      </c>
      <c r="F127" s="1" t="s">
        <v>1551</v>
      </c>
      <c r="G127" s="1" t="s">
        <v>2096</v>
      </c>
      <c r="H127" s="1" t="s">
        <v>2093</v>
      </c>
    </row>
    <row r="128">
      <c r="A128" s="1" t="s">
        <v>806</v>
      </c>
      <c r="B128" s="1" t="s">
        <v>2334</v>
      </c>
      <c r="C128" s="1" t="s">
        <v>2655</v>
      </c>
      <c r="D128" s="1">
        <v>-4.0</v>
      </c>
      <c r="E128" s="1">
        <v>-12.0</v>
      </c>
      <c r="F128" s="1">
        <v>12.0</v>
      </c>
      <c r="G128" s="1">
        <v>4.0</v>
      </c>
      <c r="H128" s="1">
        <v>-12.0</v>
      </c>
    </row>
    <row r="129">
      <c r="A129" s="1" t="s">
        <v>806</v>
      </c>
      <c r="B129" s="1" t="s">
        <v>2334</v>
      </c>
      <c r="C129" s="1" t="s">
        <v>2656</v>
      </c>
      <c r="D129" s="1" t="s">
        <v>2657</v>
      </c>
      <c r="E129" s="1" t="s">
        <v>2658</v>
      </c>
      <c r="F129" s="1" t="s">
        <v>393</v>
      </c>
      <c r="G129" s="1" t="s">
        <v>635</v>
      </c>
      <c r="H129" s="1" t="s">
        <v>2657</v>
      </c>
    </row>
    <row r="130">
      <c r="A130" s="1" t="s">
        <v>806</v>
      </c>
      <c r="B130" s="1" t="s">
        <v>2334</v>
      </c>
      <c r="C130" s="1" t="s">
        <v>2659</v>
      </c>
      <c r="D130" s="1">
        <v>10.0</v>
      </c>
      <c r="E130" s="1">
        <v>10.5</v>
      </c>
      <c r="F130" s="1">
        <v>21.0</v>
      </c>
      <c r="G130" s="1">
        <v>0.0</v>
      </c>
      <c r="H130" s="1">
        <v>10.5</v>
      </c>
    </row>
    <row r="131">
      <c r="A131" s="1" t="s">
        <v>806</v>
      </c>
      <c r="B131" s="1" t="s">
        <v>2334</v>
      </c>
      <c r="C131" s="1" t="s">
        <v>2660</v>
      </c>
      <c r="D131" s="1">
        <v>0.0</v>
      </c>
      <c r="E131" s="1">
        <v>1.0</v>
      </c>
      <c r="F131" s="1">
        <v>-1.0</v>
      </c>
      <c r="G131" s="1">
        <v>2.0</v>
      </c>
      <c r="H131" s="1">
        <v>0.0</v>
      </c>
    </row>
    <row r="132">
      <c r="A132" s="1" t="s">
        <v>806</v>
      </c>
      <c r="B132" s="1" t="s">
        <v>2334</v>
      </c>
      <c r="C132" s="1" t="s">
        <v>2661</v>
      </c>
      <c r="D132" s="1" t="s">
        <v>71</v>
      </c>
      <c r="E132" s="1" t="s">
        <v>72</v>
      </c>
      <c r="F132" s="1" t="s">
        <v>2524</v>
      </c>
      <c r="G132" s="1" t="s">
        <v>22</v>
      </c>
      <c r="H132" s="1" t="s">
        <v>71</v>
      </c>
    </row>
    <row r="133">
      <c r="A133" s="1" t="s">
        <v>806</v>
      </c>
      <c r="B133" s="1" t="s">
        <v>2334</v>
      </c>
      <c r="C133" s="1" t="s">
        <v>2662</v>
      </c>
      <c r="D133" s="1">
        <v>15.0</v>
      </c>
      <c r="E133" s="1">
        <v>9.0</v>
      </c>
      <c r="F133" s="1">
        <v>-9.0</v>
      </c>
      <c r="G133" s="1" t="s">
        <v>2663</v>
      </c>
      <c r="H133" s="1" t="s">
        <v>2663</v>
      </c>
    </row>
    <row r="134">
      <c r="A134" s="1" t="s">
        <v>806</v>
      </c>
      <c r="B134" s="1" t="s">
        <v>2334</v>
      </c>
      <c r="C134" s="1" t="s">
        <v>2664</v>
      </c>
      <c r="D134" s="1">
        <v>1.0</v>
      </c>
      <c r="E134" s="1">
        <v>2.0</v>
      </c>
      <c r="F134" s="1">
        <v>3.0</v>
      </c>
      <c r="G134" s="1">
        <v>4.0</v>
      </c>
      <c r="H134" s="1">
        <v>2.0</v>
      </c>
    </row>
    <row r="135">
      <c r="A135" s="1" t="s">
        <v>806</v>
      </c>
      <c r="B135" s="1" t="s">
        <v>2334</v>
      </c>
      <c r="C135" s="1" t="s">
        <v>2665</v>
      </c>
      <c r="D135" s="1" t="s">
        <v>2637</v>
      </c>
      <c r="E135" s="1">
        <v>3.0</v>
      </c>
      <c r="F135" s="1">
        <v>9.0</v>
      </c>
      <c r="G135" s="1">
        <v>-1.0</v>
      </c>
      <c r="H135" s="1" t="s">
        <v>2637</v>
      </c>
    </row>
    <row r="136">
      <c r="A136" s="1" t="s">
        <v>806</v>
      </c>
      <c r="B136" s="1" t="s">
        <v>2334</v>
      </c>
      <c r="C136" s="1" t="s">
        <v>2666</v>
      </c>
      <c r="D136" s="1" t="s">
        <v>2667</v>
      </c>
      <c r="E136" s="1" t="s">
        <v>2668</v>
      </c>
      <c r="F136" s="1" t="s">
        <v>894</v>
      </c>
      <c r="G136" s="1" t="s">
        <v>2527</v>
      </c>
      <c r="H136" s="1" t="s">
        <v>2667</v>
      </c>
    </row>
    <row r="137">
      <c r="A137" s="1" t="s">
        <v>806</v>
      </c>
      <c r="B137" s="1" t="s">
        <v>2334</v>
      </c>
      <c r="C137" s="1" t="s">
        <v>2669</v>
      </c>
      <c r="D137" s="1" t="s">
        <v>498</v>
      </c>
      <c r="E137" s="1" t="s">
        <v>1883</v>
      </c>
      <c r="F137" s="5"/>
      <c r="G137" s="1" t="s">
        <v>1883</v>
      </c>
      <c r="H137" s="5"/>
    </row>
    <row r="138">
      <c r="A138" s="1" t="s">
        <v>806</v>
      </c>
      <c r="B138" s="1" t="s">
        <v>2334</v>
      </c>
      <c r="C138" s="1" t="s">
        <v>2670</v>
      </c>
      <c r="D138" s="1" t="s">
        <v>498</v>
      </c>
      <c r="E138" s="1" t="s">
        <v>1883</v>
      </c>
      <c r="F138" s="5"/>
      <c r="G138" s="1" t="s">
        <v>498</v>
      </c>
      <c r="H138" s="5"/>
    </row>
    <row r="139">
      <c r="A139" s="1" t="s">
        <v>806</v>
      </c>
      <c r="B139" s="1" t="s">
        <v>2334</v>
      </c>
      <c r="C139" s="1" t="s">
        <v>2671</v>
      </c>
      <c r="D139" s="1" t="s">
        <v>2672</v>
      </c>
      <c r="E139" s="1" t="s">
        <v>2673</v>
      </c>
      <c r="F139" s="1" t="s">
        <v>2674</v>
      </c>
      <c r="G139" s="1" t="s">
        <v>22</v>
      </c>
      <c r="H139" s="1" t="s">
        <v>2672</v>
      </c>
    </row>
    <row r="140">
      <c r="A140" s="1" t="s">
        <v>806</v>
      </c>
      <c r="B140" s="1" t="s">
        <v>2334</v>
      </c>
      <c r="C140" s="1" t="s">
        <v>2675</v>
      </c>
      <c r="D140" s="1" t="s">
        <v>27</v>
      </c>
      <c r="E140" s="1" t="s">
        <v>2640</v>
      </c>
      <c r="F140" s="1" t="s">
        <v>1902</v>
      </c>
      <c r="G140" s="1">
        <v>0.0</v>
      </c>
      <c r="H140" s="1" t="s">
        <v>27</v>
      </c>
    </row>
    <row r="141">
      <c r="A141" s="1" t="s">
        <v>806</v>
      </c>
      <c r="B141" s="1" t="s">
        <v>2334</v>
      </c>
      <c r="C141" s="1" t="s">
        <v>2676</v>
      </c>
      <c r="D141" s="1" t="s">
        <v>15</v>
      </c>
      <c r="E141" s="1" t="s">
        <v>2677</v>
      </c>
      <c r="F141" s="1" t="s">
        <v>2678</v>
      </c>
      <c r="G141" s="1">
        <v>3.0</v>
      </c>
      <c r="H141" s="1" t="s">
        <v>2677</v>
      </c>
    </row>
    <row r="142">
      <c r="A142" s="1" t="s">
        <v>806</v>
      </c>
      <c r="B142" s="1" t="s">
        <v>2334</v>
      </c>
      <c r="C142" s="1" t="s">
        <v>2679</v>
      </c>
      <c r="D142" s="1" t="s">
        <v>2360</v>
      </c>
      <c r="E142" s="1" t="s">
        <v>2680</v>
      </c>
      <c r="F142" s="1" t="s">
        <v>2681</v>
      </c>
      <c r="G142" s="1" t="s">
        <v>2682</v>
      </c>
      <c r="H142" s="1" t="s">
        <v>2360</v>
      </c>
    </row>
    <row r="143">
      <c r="A143" s="1" t="s">
        <v>806</v>
      </c>
      <c r="B143" s="1" t="s">
        <v>2334</v>
      </c>
      <c r="C143" s="1" t="s">
        <v>2683</v>
      </c>
      <c r="D143" s="1">
        <v>1.0</v>
      </c>
      <c r="E143" s="1">
        <v>-1.0</v>
      </c>
      <c r="F143" s="1" t="s">
        <v>2684</v>
      </c>
      <c r="G143" s="1">
        <v>0.0</v>
      </c>
      <c r="H143" s="1">
        <v>1.0</v>
      </c>
    </row>
    <row r="144">
      <c r="A144" s="1" t="s">
        <v>806</v>
      </c>
      <c r="B144" s="1" t="s">
        <v>2334</v>
      </c>
      <c r="C144" s="1" t="s">
        <v>2685</v>
      </c>
      <c r="D144" s="1" t="s">
        <v>2686</v>
      </c>
      <c r="E144" s="1" t="s">
        <v>2687</v>
      </c>
      <c r="F144" s="1" t="s">
        <v>393</v>
      </c>
      <c r="G144" s="1" t="s">
        <v>2688</v>
      </c>
      <c r="H144" s="1" t="s">
        <v>2686</v>
      </c>
    </row>
    <row r="145">
      <c r="A145" s="1" t="s">
        <v>806</v>
      </c>
      <c r="B145" s="1" t="s">
        <v>2334</v>
      </c>
      <c r="C145" s="1" t="s">
        <v>2689</v>
      </c>
      <c r="D145" s="1" t="s">
        <v>29</v>
      </c>
      <c r="E145" s="1" t="s">
        <v>2690</v>
      </c>
      <c r="F145" s="1" t="s">
        <v>320</v>
      </c>
      <c r="G145" s="1">
        <v>0.0</v>
      </c>
      <c r="H145" s="1" t="s">
        <v>2690</v>
      </c>
    </row>
    <row r="146">
      <c r="A146" s="1" t="s">
        <v>806</v>
      </c>
      <c r="B146" s="1" t="s">
        <v>2334</v>
      </c>
      <c r="C146" s="1" t="s">
        <v>2691</v>
      </c>
      <c r="D146" s="1">
        <v>6.0</v>
      </c>
      <c r="E146" s="1">
        <v>8.0</v>
      </c>
      <c r="F146" s="1">
        <v>10.0</v>
      </c>
      <c r="G146" s="1">
        <v>14.0</v>
      </c>
      <c r="H146" s="1">
        <v>10.0</v>
      </c>
    </row>
    <row r="147">
      <c r="A147" s="1" t="s">
        <v>806</v>
      </c>
      <c r="B147" s="1" t="s">
        <v>2334</v>
      </c>
      <c r="C147" s="1" t="s">
        <v>2692</v>
      </c>
      <c r="D147" s="1" t="s">
        <v>2693</v>
      </c>
      <c r="E147" s="1" t="s">
        <v>2694</v>
      </c>
      <c r="F147" s="1" t="s">
        <v>720</v>
      </c>
      <c r="G147" s="1" t="s">
        <v>22</v>
      </c>
      <c r="H147" s="1" t="s">
        <v>2693</v>
      </c>
    </row>
    <row r="148">
      <c r="A148" s="1" t="s">
        <v>806</v>
      </c>
      <c r="B148" s="1" t="s">
        <v>2334</v>
      </c>
      <c r="C148" s="1" t="s">
        <v>2695</v>
      </c>
      <c r="D148" s="1">
        <v>-1.0</v>
      </c>
      <c r="E148" s="1">
        <v>1.0</v>
      </c>
      <c r="F148" s="1">
        <v>0.0</v>
      </c>
      <c r="G148" s="1">
        <v>5.0</v>
      </c>
      <c r="H148" s="1">
        <v>-1.0</v>
      </c>
    </row>
    <row r="149">
      <c r="A149" s="1" t="s">
        <v>806</v>
      </c>
      <c r="B149" s="1" t="s">
        <v>2334</v>
      </c>
      <c r="C149" s="1" t="s">
        <v>2696</v>
      </c>
      <c r="D149" s="1">
        <v>4.0</v>
      </c>
      <c r="E149" s="1">
        <v>2.0</v>
      </c>
      <c r="F149" s="1" t="s">
        <v>2697</v>
      </c>
      <c r="G149" s="1">
        <v>8.0</v>
      </c>
      <c r="H149" s="1">
        <v>4.0</v>
      </c>
    </row>
    <row r="150">
      <c r="A150" s="1" t="s">
        <v>806</v>
      </c>
      <c r="B150" s="1" t="s">
        <v>2334</v>
      </c>
      <c r="C150" s="1" t="s">
        <v>2698</v>
      </c>
      <c r="D150" s="1">
        <v>63.0</v>
      </c>
      <c r="E150" s="1">
        <v>-63.0</v>
      </c>
      <c r="F150" s="1">
        <v>60.0</v>
      </c>
      <c r="G150" s="1">
        <v>-60.0</v>
      </c>
      <c r="H150" s="1">
        <v>-63.0</v>
      </c>
    </row>
    <row r="151">
      <c r="A151" s="1" t="s">
        <v>806</v>
      </c>
      <c r="B151" s="1" t="s">
        <v>2334</v>
      </c>
      <c r="C151" s="1" t="s">
        <v>2699</v>
      </c>
      <c r="D151" s="1" t="s">
        <v>2520</v>
      </c>
      <c r="E151" s="1" t="s">
        <v>2522</v>
      </c>
      <c r="F151" s="1" t="s">
        <v>2521</v>
      </c>
      <c r="G151" s="1" t="s">
        <v>2700</v>
      </c>
      <c r="H151" s="1" t="s">
        <v>2520</v>
      </c>
    </row>
    <row r="152">
      <c r="A152" s="1" t="s">
        <v>806</v>
      </c>
      <c r="B152" s="1" t="s">
        <v>2334</v>
      </c>
      <c r="C152" s="1" t="s">
        <v>2701</v>
      </c>
      <c r="D152" s="1" t="s">
        <v>2702</v>
      </c>
      <c r="E152" s="1" t="s">
        <v>2703</v>
      </c>
      <c r="F152" s="1" t="s">
        <v>2704</v>
      </c>
      <c r="G152" s="1" t="s">
        <v>2705</v>
      </c>
      <c r="H152" s="1" t="s">
        <v>2702</v>
      </c>
    </row>
    <row r="153">
      <c r="A153" s="1" t="s">
        <v>806</v>
      </c>
      <c r="B153" s="1" t="s">
        <v>2334</v>
      </c>
      <c r="C153" s="1" t="s">
        <v>2706</v>
      </c>
      <c r="D153" s="1" t="s">
        <v>2707</v>
      </c>
      <c r="E153" s="1" t="s">
        <v>2708</v>
      </c>
      <c r="F153" s="1" t="s">
        <v>2709</v>
      </c>
      <c r="G153" s="1" t="s">
        <v>2710</v>
      </c>
      <c r="H153" s="1" t="s">
        <v>2707</v>
      </c>
    </row>
    <row r="154">
      <c r="A154" s="1" t="s">
        <v>806</v>
      </c>
      <c r="B154" s="1" t="s">
        <v>2334</v>
      </c>
      <c r="C154" s="1" t="s">
        <v>2711</v>
      </c>
      <c r="D154" s="1" t="s">
        <v>2093</v>
      </c>
      <c r="E154" s="1" t="s">
        <v>2096</v>
      </c>
      <c r="F154" s="1" t="s">
        <v>2094</v>
      </c>
      <c r="G154" s="1" t="s">
        <v>2095</v>
      </c>
      <c r="H154" s="1" t="s">
        <v>2094</v>
      </c>
    </row>
    <row r="155">
      <c r="A155" s="1" t="s">
        <v>806</v>
      </c>
      <c r="B155" s="1" t="s">
        <v>2334</v>
      </c>
      <c r="C155" s="1" t="s">
        <v>2712</v>
      </c>
      <c r="D155" s="1">
        <v>4.0</v>
      </c>
      <c r="E155" s="1">
        <v>3.0</v>
      </c>
      <c r="F155" s="1">
        <v>5.0</v>
      </c>
      <c r="G155" s="1">
        <v>7.0</v>
      </c>
      <c r="H155" s="1">
        <v>3.0</v>
      </c>
    </row>
    <row r="156">
      <c r="A156" s="1" t="s">
        <v>806</v>
      </c>
      <c r="B156" s="1" t="s">
        <v>2334</v>
      </c>
      <c r="C156" s="1" t="s">
        <v>2713</v>
      </c>
      <c r="D156" s="1">
        <v>4.0</v>
      </c>
      <c r="E156" s="1">
        <v>3.0</v>
      </c>
      <c r="F156" s="1">
        <v>5.0</v>
      </c>
      <c r="G156" s="1">
        <v>7.0</v>
      </c>
      <c r="H156" s="1">
        <v>4.0</v>
      </c>
    </row>
    <row r="157">
      <c r="A157" s="1" t="s">
        <v>806</v>
      </c>
      <c r="B157" s="1" t="s">
        <v>2334</v>
      </c>
      <c r="C157" s="1" t="s">
        <v>2714</v>
      </c>
      <c r="D157" s="1">
        <v>4.0</v>
      </c>
      <c r="E157" s="1">
        <v>2.0</v>
      </c>
      <c r="F157" s="1">
        <v>3.0</v>
      </c>
      <c r="G157" s="1">
        <v>0.0</v>
      </c>
      <c r="H157" s="1">
        <v>4.0</v>
      </c>
    </row>
    <row r="158">
      <c r="A158" s="1"/>
      <c r="B158" s="1"/>
      <c r="C158" s="1"/>
      <c r="D158" s="1"/>
      <c r="E158" s="1"/>
      <c r="F158" s="1"/>
      <c r="G158" s="1"/>
      <c r="H158" s="1"/>
    </row>
    <row r="159">
      <c r="A159" s="1"/>
      <c r="B159" s="1"/>
      <c r="C159" s="1"/>
      <c r="D159" s="1"/>
      <c r="E159" s="1"/>
      <c r="F159" s="1"/>
      <c r="G159" s="1"/>
      <c r="H159" s="1"/>
    </row>
    <row r="160">
      <c r="A160" s="1"/>
      <c r="B160" s="1"/>
      <c r="C160" s="1"/>
      <c r="D160" s="1"/>
      <c r="E160" s="1"/>
      <c r="F160" s="1"/>
      <c r="G160" s="1"/>
      <c r="H160" s="1"/>
    </row>
    <row r="161">
      <c r="A161" s="1"/>
      <c r="B161" s="1"/>
      <c r="C161" s="1"/>
      <c r="D161" s="1"/>
      <c r="E161" s="1"/>
      <c r="F161" s="1"/>
      <c r="G161" s="1"/>
      <c r="H161" s="1"/>
    </row>
    <row r="162">
      <c r="A162" s="1"/>
      <c r="B162" s="1"/>
      <c r="C162" s="1"/>
      <c r="D162" s="1"/>
      <c r="E162" s="1"/>
      <c r="F162" s="1"/>
      <c r="G162" s="1"/>
      <c r="H162" s="1"/>
    </row>
    <row r="163">
      <c r="A163" s="1"/>
      <c r="B163" s="1"/>
      <c r="C163" s="1"/>
      <c r="D163" s="1"/>
      <c r="E163" s="1"/>
      <c r="F163" s="1"/>
      <c r="G163" s="1"/>
      <c r="H163" s="1"/>
    </row>
    <row r="164">
      <c r="A164" s="1"/>
      <c r="B164" s="1"/>
      <c r="C164" s="1"/>
      <c r="D164" s="1"/>
      <c r="E164" s="1"/>
      <c r="F164" s="1"/>
      <c r="G164" s="1"/>
      <c r="H164" s="1"/>
    </row>
    <row r="165">
      <c r="A165" s="1"/>
      <c r="B165" s="1"/>
      <c r="C165" s="1"/>
      <c r="D165" s="1"/>
      <c r="E165" s="1"/>
      <c r="F165" s="1"/>
      <c r="G165" s="1"/>
      <c r="H165" s="1"/>
    </row>
    <row r="166">
      <c r="A166" s="1"/>
      <c r="B166" s="1"/>
      <c r="C166" s="1"/>
      <c r="D166" s="1"/>
      <c r="E166" s="1"/>
      <c r="F166" s="1"/>
      <c r="G166" s="1"/>
      <c r="H166" s="1"/>
    </row>
    <row r="167">
      <c r="A167" s="1"/>
      <c r="B167" s="1"/>
      <c r="C167" s="1"/>
      <c r="D167" s="1"/>
      <c r="E167" s="1"/>
      <c r="F167" s="1"/>
      <c r="G167" s="1"/>
      <c r="H167" s="1"/>
    </row>
    <row r="168">
      <c r="A168" s="1"/>
      <c r="B168" s="1"/>
      <c r="C168" s="1"/>
      <c r="D168" s="1"/>
      <c r="E168" s="1"/>
      <c r="F168" s="1"/>
      <c r="G168" s="1"/>
      <c r="H168" s="1"/>
    </row>
    <row r="169">
      <c r="A169" s="1"/>
      <c r="B169" s="1"/>
      <c r="C169" s="1"/>
      <c r="D169" s="1"/>
      <c r="E169" s="1"/>
      <c r="F169" s="1"/>
      <c r="G169" s="1"/>
      <c r="H169" s="1"/>
    </row>
    <row r="170">
      <c r="A170" s="1"/>
      <c r="B170" s="1"/>
      <c r="C170" s="1"/>
      <c r="D170" s="1"/>
      <c r="E170" s="1"/>
      <c r="F170" s="1"/>
      <c r="G170" s="1"/>
      <c r="H170" s="1"/>
    </row>
    <row r="171">
      <c r="A171" s="1"/>
      <c r="B171" s="1"/>
      <c r="C171" s="1"/>
      <c r="D171" s="1"/>
      <c r="E171" s="1"/>
      <c r="F171" s="1"/>
      <c r="G171" s="1"/>
      <c r="H171" s="1"/>
    </row>
    <row r="172">
      <c r="A172" s="1"/>
      <c r="B172" s="1"/>
      <c r="C172" s="1"/>
      <c r="D172" s="1"/>
      <c r="E172" s="1"/>
      <c r="F172" s="1"/>
      <c r="G172" s="1"/>
      <c r="H172" s="1"/>
    </row>
    <row r="173">
      <c r="A173" s="1"/>
      <c r="B173" s="1"/>
      <c r="C173" s="1"/>
      <c r="D173" s="1"/>
      <c r="E173" s="1"/>
      <c r="F173" s="1"/>
      <c r="G173" s="1"/>
      <c r="H173" s="1"/>
    </row>
    <row r="174">
      <c r="A174" s="1"/>
      <c r="B174" s="1"/>
      <c r="C174" s="1"/>
      <c r="D174" s="1"/>
      <c r="E174" s="1"/>
      <c r="F174" s="1"/>
      <c r="G174" s="1"/>
      <c r="H174" s="1"/>
    </row>
    <row r="175">
      <c r="A175" s="1"/>
      <c r="B175" s="1"/>
      <c r="C175" s="1"/>
      <c r="D175" s="1"/>
      <c r="E175" s="1"/>
      <c r="F175" s="1"/>
      <c r="G175" s="1"/>
      <c r="H175" s="1"/>
    </row>
    <row r="176">
      <c r="A176" s="1"/>
      <c r="B176" s="1"/>
      <c r="C176" s="1"/>
      <c r="D176" s="1"/>
      <c r="E176" s="1"/>
      <c r="F176" s="1"/>
      <c r="G176" s="1"/>
      <c r="H176" s="1"/>
    </row>
    <row r="177">
      <c r="A177" s="1"/>
      <c r="B177" s="1"/>
      <c r="C177" s="1"/>
      <c r="D177" s="1"/>
      <c r="E177" s="1"/>
      <c r="F177" s="1"/>
      <c r="G177" s="1"/>
      <c r="H177" s="1"/>
    </row>
    <row r="178">
      <c r="A178" s="1"/>
      <c r="B178" s="1"/>
      <c r="C178" s="1"/>
      <c r="D178" s="1"/>
      <c r="E178" s="1"/>
      <c r="F178" s="1"/>
      <c r="G178" s="1"/>
      <c r="H178" s="1"/>
    </row>
    <row r="179">
      <c r="A179" s="1"/>
      <c r="B179" s="1"/>
      <c r="C179" s="1"/>
      <c r="D179" s="1"/>
      <c r="E179" s="1"/>
      <c r="F179" s="1"/>
      <c r="G179" s="1"/>
      <c r="H179" s="1"/>
    </row>
    <row r="180">
      <c r="A180" s="1"/>
      <c r="B180" s="1"/>
      <c r="C180" s="1"/>
      <c r="D180" s="1"/>
      <c r="E180" s="1"/>
      <c r="F180" s="1"/>
      <c r="G180" s="1"/>
      <c r="H180" s="1"/>
    </row>
    <row r="181">
      <c r="A181" s="1"/>
      <c r="B181" s="1"/>
      <c r="C181" s="1"/>
      <c r="D181" s="1"/>
      <c r="E181" s="1"/>
      <c r="F181" s="1"/>
      <c r="G181" s="1"/>
      <c r="H181" s="1"/>
    </row>
    <row r="182">
      <c r="A182" s="1"/>
      <c r="B182" s="1"/>
      <c r="C182" s="1"/>
      <c r="D182" s="1"/>
      <c r="E182" s="1"/>
      <c r="F182" s="1"/>
      <c r="G182" s="1"/>
      <c r="H182" s="1"/>
    </row>
    <row r="183">
      <c r="A183" s="1"/>
      <c r="B183" s="1"/>
      <c r="C183" s="1"/>
      <c r="D183" s="1"/>
      <c r="E183" s="1"/>
      <c r="F183" s="1"/>
      <c r="G183" s="1"/>
      <c r="H183" s="1"/>
    </row>
    <row r="184">
      <c r="A184" s="1"/>
      <c r="B184" s="1"/>
      <c r="C184" s="1"/>
      <c r="D184" s="1"/>
      <c r="E184" s="1"/>
      <c r="F184" s="1"/>
      <c r="G184" s="1"/>
      <c r="H184" s="1"/>
    </row>
    <row r="185">
      <c r="A185" s="1"/>
      <c r="B185" s="1"/>
      <c r="C185" s="1"/>
      <c r="D185" s="1"/>
      <c r="E185" s="1"/>
      <c r="F185" s="1"/>
      <c r="G185" s="1"/>
      <c r="H185" s="1"/>
    </row>
    <row r="186">
      <c r="A186" s="1"/>
      <c r="B186" s="1"/>
      <c r="C186" s="1"/>
      <c r="D186" s="1"/>
      <c r="E186" s="1"/>
      <c r="F186" s="1"/>
      <c r="G186" s="1"/>
      <c r="H186" s="1"/>
    </row>
    <row r="187">
      <c r="A187" s="1"/>
      <c r="B187" s="1"/>
      <c r="C187" s="1"/>
      <c r="D187" s="1"/>
      <c r="E187" s="1"/>
      <c r="F187" s="1"/>
      <c r="G187" s="1"/>
      <c r="H187" s="1"/>
    </row>
    <row r="188">
      <c r="A188" s="1"/>
      <c r="B188" s="1"/>
      <c r="C188" s="1"/>
      <c r="D188" s="1"/>
      <c r="E188" s="1"/>
      <c r="F188" s="1"/>
      <c r="G188" s="1"/>
      <c r="H188" s="1"/>
    </row>
    <row r="189">
      <c r="A189" s="1"/>
      <c r="B189" s="1"/>
      <c r="C189" s="1"/>
      <c r="D189" s="1"/>
      <c r="E189" s="1"/>
      <c r="F189" s="1"/>
      <c r="G189" s="1"/>
      <c r="H189" s="1"/>
    </row>
    <row r="190">
      <c r="A190" s="1"/>
      <c r="B190" s="1"/>
      <c r="C190" s="1"/>
      <c r="D190" s="1"/>
      <c r="E190" s="1"/>
      <c r="F190" s="1"/>
      <c r="G190" s="1"/>
      <c r="H190" s="1"/>
    </row>
    <row r="191">
      <c r="A191" s="1"/>
      <c r="B191" s="1"/>
      <c r="C191" s="1"/>
      <c r="D191" s="1"/>
      <c r="E191" s="1"/>
      <c r="F191" s="1"/>
      <c r="G191" s="1"/>
      <c r="H191" s="1"/>
    </row>
    <row r="192">
      <c r="A192" s="1"/>
      <c r="B192" s="1"/>
      <c r="C192" s="1"/>
      <c r="D192" s="1"/>
      <c r="E192" s="1"/>
      <c r="F192" s="1"/>
      <c r="G192" s="1"/>
      <c r="H192" s="1"/>
    </row>
    <row r="193">
      <c r="A193" s="1"/>
      <c r="B193" s="1"/>
      <c r="C193" s="1"/>
      <c r="D193" s="1"/>
      <c r="E193" s="1"/>
      <c r="F193" s="1"/>
      <c r="G193" s="1"/>
      <c r="H193" s="1"/>
    </row>
    <row r="194">
      <c r="A194" s="1"/>
      <c r="B194" s="1"/>
      <c r="C194" s="1"/>
      <c r="D194" s="1"/>
      <c r="E194" s="1"/>
      <c r="F194" s="1"/>
      <c r="G194" s="1"/>
      <c r="H194" s="1"/>
    </row>
    <row r="195">
      <c r="A195" s="1"/>
      <c r="B195" s="1"/>
      <c r="C195" s="1"/>
      <c r="D195" s="1"/>
      <c r="E195" s="1"/>
      <c r="F195" s="1"/>
      <c r="G195" s="1"/>
      <c r="H195" s="1"/>
    </row>
    <row r="196">
      <c r="A196" s="1"/>
      <c r="B196" s="1"/>
      <c r="C196" s="1"/>
      <c r="D196" s="1"/>
      <c r="E196" s="1"/>
      <c r="F196" s="1"/>
      <c r="G196" s="1"/>
      <c r="H196" s="1"/>
    </row>
    <row r="197">
      <c r="A197" s="1"/>
      <c r="B197" s="1"/>
      <c r="C197" s="1"/>
      <c r="D197" s="1"/>
      <c r="E197" s="1"/>
      <c r="F197" s="1"/>
      <c r="G197" s="1"/>
      <c r="H197" s="1"/>
    </row>
    <row r="198">
      <c r="A198" s="1"/>
      <c r="B198" s="1"/>
      <c r="C198" s="1"/>
      <c r="D198" s="1"/>
      <c r="E198" s="1"/>
      <c r="F198" s="1"/>
      <c r="G198" s="1"/>
      <c r="H198" s="1"/>
    </row>
    <row r="199">
      <c r="A199" s="1"/>
      <c r="B199" s="1"/>
      <c r="C199" s="1"/>
      <c r="D199" s="1"/>
      <c r="E199" s="1"/>
      <c r="F199" s="1"/>
      <c r="G199" s="1"/>
      <c r="H199" s="1"/>
    </row>
    <row r="200">
      <c r="A200" s="1"/>
      <c r="B200" s="1"/>
      <c r="C200" s="1"/>
      <c r="D200" s="1"/>
      <c r="E200" s="1"/>
      <c r="F200" s="1"/>
      <c r="G200" s="1"/>
      <c r="H200" s="1"/>
    </row>
    <row r="201">
      <c r="A201" s="1"/>
      <c r="B201" s="1"/>
      <c r="C201" s="1"/>
      <c r="D201" s="1"/>
      <c r="E201" s="1"/>
      <c r="F201" s="1"/>
      <c r="G201" s="1"/>
      <c r="H201" s="1"/>
    </row>
    <row r="202">
      <c r="A202" s="1"/>
      <c r="B202" s="1"/>
      <c r="C202" s="1"/>
      <c r="D202" s="1"/>
      <c r="E202" s="1"/>
      <c r="F202" s="1"/>
      <c r="G202" s="1"/>
      <c r="H202" s="1"/>
    </row>
    <row r="203">
      <c r="A203" s="1"/>
      <c r="B203" s="1"/>
      <c r="C203" s="1"/>
      <c r="D203" s="1"/>
      <c r="E203" s="1"/>
      <c r="F203" s="1"/>
      <c r="G203" s="1"/>
      <c r="H203" s="1"/>
    </row>
    <row r="204">
      <c r="A204" s="1"/>
      <c r="B204" s="1"/>
      <c r="C204" s="1"/>
      <c r="D204" s="1"/>
      <c r="E204" s="1"/>
      <c r="F204" s="1"/>
      <c r="G204" s="1"/>
      <c r="H204" s="1"/>
    </row>
    <row r="205">
      <c r="A205" s="1"/>
      <c r="B205" s="1"/>
      <c r="C205" s="1"/>
      <c r="D205" s="1"/>
      <c r="E205" s="1"/>
      <c r="F205" s="1"/>
      <c r="G205" s="1"/>
      <c r="H205" s="1"/>
    </row>
    <row r="206">
      <c r="A206" s="1"/>
      <c r="B206" s="1"/>
      <c r="C206" s="1"/>
      <c r="D206" s="1"/>
      <c r="E206" s="1"/>
      <c r="F206" s="1"/>
      <c r="G206" s="1"/>
      <c r="H206" s="1"/>
    </row>
    <row r="207">
      <c r="A207" s="1"/>
      <c r="B207" s="1"/>
      <c r="C207" s="1"/>
      <c r="D207" s="1"/>
      <c r="E207" s="1"/>
      <c r="F207" s="1"/>
      <c r="G207" s="1"/>
      <c r="H207" s="1"/>
    </row>
    <row r="208">
      <c r="A208" s="1"/>
      <c r="B208" s="1"/>
      <c r="C208" s="1"/>
      <c r="D208" s="1"/>
      <c r="E208" s="1"/>
      <c r="F208" s="1"/>
      <c r="G208" s="1"/>
      <c r="H208" s="1"/>
    </row>
    <row r="209">
      <c r="A209" s="1"/>
      <c r="B209" s="1"/>
      <c r="C209" s="1"/>
      <c r="D209" s="1"/>
      <c r="E209" s="1"/>
      <c r="F209" s="1"/>
      <c r="G209" s="1"/>
      <c r="H209" s="1"/>
    </row>
    <row r="210">
      <c r="A210" s="1"/>
      <c r="B210" s="1"/>
      <c r="C210" s="1"/>
      <c r="D210" s="1"/>
      <c r="E210" s="1"/>
      <c r="F210" s="1"/>
      <c r="G210" s="1"/>
      <c r="H210" s="1"/>
    </row>
    <row r="211">
      <c r="A211" s="1"/>
      <c r="B211" s="1"/>
      <c r="C211" s="1"/>
      <c r="D211" s="1"/>
      <c r="E211" s="1"/>
      <c r="F211" s="1"/>
      <c r="G211" s="1"/>
      <c r="H211" s="1"/>
    </row>
    <row r="212">
      <c r="A212" s="1"/>
      <c r="B212" s="1"/>
      <c r="C212" s="1"/>
      <c r="D212" s="1"/>
      <c r="E212" s="1"/>
      <c r="F212" s="1"/>
      <c r="G212" s="1"/>
      <c r="H212" s="1"/>
    </row>
    <row r="213">
      <c r="A213" s="1"/>
      <c r="B213" s="1"/>
      <c r="C213" s="1"/>
      <c r="D213" s="1"/>
      <c r="E213" s="1"/>
      <c r="F213" s="1"/>
      <c r="G213" s="1"/>
      <c r="H213" s="1"/>
    </row>
    <row r="214">
      <c r="A214" s="1"/>
      <c r="B214" s="1"/>
      <c r="C214" s="1"/>
      <c r="D214" s="1"/>
      <c r="E214" s="1"/>
      <c r="F214" s="1"/>
      <c r="G214" s="1"/>
      <c r="H214" s="1"/>
    </row>
    <row r="215">
      <c r="A215" s="1"/>
      <c r="B215" s="1"/>
      <c r="C215" s="1"/>
      <c r="D215" s="1"/>
      <c r="E215" s="1"/>
      <c r="F215" s="1"/>
      <c r="G215" s="1"/>
      <c r="H215" s="1"/>
    </row>
    <row r="216">
      <c r="A216" s="1"/>
      <c r="B216" s="1"/>
      <c r="C216" s="1"/>
      <c r="D216" s="1"/>
      <c r="E216" s="1"/>
      <c r="F216" s="1"/>
      <c r="G216" s="1"/>
      <c r="H216" s="1"/>
    </row>
    <row r="217">
      <c r="A217" s="1"/>
      <c r="B217" s="1"/>
      <c r="C217" s="1"/>
      <c r="D217" s="1"/>
      <c r="E217" s="1"/>
      <c r="F217" s="1"/>
      <c r="G217" s="1"/>
      <c r="H217" s="1"/>
    </row>
    <row r="218">
      <c r="A218" s="1"/>
      <c r="B218" s="1"/>
      <c r="C218" s="1"/>
      <c r="D218" s="1"/>
      <c r="E218" s="1"/>
      <c r="F218" s="1"/>
      <c r="G218" s="1"/>
      <c r="H218" s="1"/>
    </row>
    <row r="219">
      <c r="A219" s="1"/>
      <c r="B219" s="1"/>
      <c r="C219" s="1"/>
      <c r="D219" s="1"/>
      <c r="E219" s="1"/>
      <c r="F219" s="1"/>
      <c r="G219" s="1"/>
      <c r="H219" s="1"/>
    </row>
    <row r="220">
      <c r="A220" s="1"/>
      <c r="B220" s="1"/>
      <c r="C220" s="1"/>
      <c r="D220" s="1"/>
      <c r="E220" s="1"/>
      <c r="F220" s="1"/>
      <c r="G220" s="1"/>
      <c r="H220" s="1"/>
    </row>
    <row r="221">
      <c r="A221" s="1"/>
      <c r="B221" s="1"/>
      <c r="C221" s="1"/>
      <c r="D221" s="1"/>
      <c r="E221" s="1"/>
      <c r="F221" s="1"/>
      <c r="G221" s="1"/>
      <c r="H221" s="1"/>
    </row>
    <row r="222">
      <c r="A222" s="1"/>
      <c r="B222" s="1"/>
      <c r="C222" s="1"/>
      <c r="D222" s="1"/>
      <c r="E222" s="1"/>
      <c r="F222" s="1"/>
      <c r="G222" s="1"/>
      <c r="H222" s="1"/>
    </row>
    <row r="223">
      <c r="A223" s="1"/>
      <c r="B223" s="1"/>
      <c r="C223" s="1"/>
      <c r="D223" s="1"/>
      <c r="E223" s="1"/>
      <c r="F223" s="1"/>
      <c r="G223" s="1"/>
      <c r="H223" s="1"/>
    </row>
    <row r="224">
      <c r="A224" s="1"/>
      <c r="B224" s="1"/>
      <c r="C224" s="1"/>
      <c r="D224" s="1"/>
      <c r="E224" s="1"/>
      <c r="F224" s="1"/>
      <c r="G224" s="1"/>
      <c r="H224" s="1"/>
    </row>
    <row r="225">
      <c r="A225" s="1"/>
      <c r="B225" s="1"/>
      <c r="C225" s="1"/>
      <c r="D225" s="1"/>
      <c r="E225" s="1"/>
      <c r="F225" s="1"/>
      <c r="G225" s="1"/>
      <c r="H225" s="1"/>
    </row>
    <row r="226">
      <c r="A226" s="1"/>
      <c r="B226" s="1"/>
      <c r="C226" s="1"/>
      <c r="D226" s="1"/>
      <c r="E226" s="1"/>
      <c r="F226" s="1"/>
      <c r="G226" s="1"/>
      <c r="H226" s="1"/>
    </row>
    <row r="227">
      <c r="A227" s="1"/>
      <c r="B227" s="1"/>
      <c r="C227" s="1"/>
      <c r="D227" s="1"/>
      <c r="E227" s="1"/>
      <c r="F227" s="1"/>
      <c r="G227" s="1"/>
      <c r="H227" s="1"/>
    </row>
    <row r="228">
      <c r="A228" s="1"/>
      <c r="B228" s="1"/>
      <c r="C228" s="1"/>
      <c r="D228" s="1"/>
      <c r="E228" s="1"/>
      <c r="F228" s="1"/>
      <c r="G228" s="1"/>
      <c r="H228" s="1"/>
    </row>
    <row r="229">
      <c r="A229" s="1"/>
      <c r="B229" s="1"/>
      <c r="C229" s="1"/>
      <c r="D229" s="1"/>
      <c r="E229" s="1"/>
      <c r="F229" s="1"/>
      <c r="G229" s="1"/>
      <c r="H229" s="1"/>
    </row>
    <row r="230">
      <c r="A230" s="1"/>
      <c r="B230" s="1"/>
      <c r="C230" s="1"/>
      <c r="D230" s="1"/>
      <c r="E230" s="1"/>
      <c r="F230" s="1"/>
      <c r="G230" s="1"/>
      <c r="H230" s="1"/>
    </row>
    <row r="231">
      <c r="A231" s="1"/>
      <c r="B231" s="1"/>
      <c r="C231" s="1"/>
      <c r="D231" s="1"/>
      <c r="E231" s="1"/>
      <c r="F231" s="1"/>
      <c r="G231" s="1"/>
      <c r="H231" s="1"/>
    </row>
    <row r="232">
      <c r="A232" s="1"/>
      <c r="B232" s="1"/>
      <c r="C232" s="1"/>
      <c r="D232" s="1"/>
      <c r="E232" s="1"/>
      <c r="F232" s="1"/>
      <c r="G232" s="1"/>
      <c r="H232" s="1"/>
    </row>
    <row r="233">
      <c r="A233" s="1"/>
      <c r="B233" s="1"/>
      <c r="C233" s="1"/>
      <c r="D233" s="1"/>
      <c r="E233" s="1"/>
      <c r="F233" s="1"/>
      <c r="G233" s="1"/>
      <c r="H233" s="1"/>
    </row>
    <row r="234">
      <c r="A234" s="1"/>
      <c r="B234" s="1"/>
      <c r="C234" s="1"/>
      <c r="D234" s="1"/>
      <c r="E234" s="1"/>
      <c r="F234" s="1"/>
      <c r="G234" s="1"/>
      <c r="H234" s="1"/>
    </row>
    <row r="235">
      <c r="A235" s="1"/>
      <c r="B235" s="1"/>
      <c r="C235" s="1"/>
      <c r="D235" s="1"/>
      <c r="E235" s="1"/>
      <c r="F235" s="1"/>
      <c r="G235" s="1"/>
      <c r="H235" s="1"/>
    </row>
    <row r="236">
      <c r="A236" s="1"/>
      <c r="B236" s="1"/>
      <c r="C236" s="1"/>
      <c r="D236" s="1"/>
      <c r="E236" s="1"/>
      <c r="F236" s="1"/>
      <c r="G236" s="1"/>
      <c r="H236" s="1"/>
    </row>
    <row r="237">
      <c r="A237" s="1"/>
      <c r="B237" s="1"/>
      <c r="C237" s="1"/>
      <c r="D237" s="1"/>
      <c r="E237" s="1"/>
      <c r="F237" s="1"/>
      <c r="G237" s="1"/>
      <c r="H237" s="1"/>
    </row>
    <row r="238">
      <c r="A238" s="1"/>
      <c r="B238" s="1"/>
      <c r="C238" s="1"/>
      <c r="D238" s="1"/>
      <c r="E238" s="1"/>
      <c r="F238" s="1"/>
      <c r="G238" s="1"/>
      <c r="H238" s="1"/>
    </row>
    <row r="239">
      <c r="A239" s="1"/>
      <c r="B239" s="1"/>
      <c r="C239" s="1"/>
      <c r="D239" s="1"/>
      <c r="E239" s="1"/>
      <c r="F239" s="1"/>
      <c r="G239" s="1"/>
      <c r="H239" s="1"/>
    </row>
    <row r="240">
      <c r="A240" s="1"/>
      <c r="B240" s="1"/>
      <c r="C240" s="1"/>
      <c r="D240" s="1"/>
      <c r="E240" s="1"/>
      <c r="F240" s="1"/>
      <c r="G240" s="1"/>
      <c r="H240" s="1"/>
    </row>
    <row r="241">
      <c r="A241" s="1"/>
      <c r="B241" s="1"/>
      <c r="C241" s="1"/>
      <c r="D241" s="1"/>
      <c r="E241" s="1"/>
      <c r="F241" s="1"/>
      <c r="G241" s="1"/>
      <c r="H241" s="1"/>
    </row>
    <row r="242">
      <c r="A242" s="1"/>
      <c r="B242" s="1"/>
      <c r="C242" s="1"/>
      <c r="D242" s="1"/>
      <c r="E242" s="1"/>
      <c r="F242" s="1"/>
      <c r="G242" s="1"/>
      <c r="H242" s="1"/>
    </row>
    <row r="243">
      <c r="A243" s="1"/>
      <c r="B243" s="1"/>
      <c r="C243" s="1"/>
      <c r="D243" s="1"/>
      <c r="E243" s="1"/>
      <c r="F243" s="1"/>
      <c r="G243" s="1"/>
      <c r="H243" s="1"/>
    </row>
    <row r="244">
      <c r="A244" s="1"/>
      <c r="B244" s="1"/>
      <c r="C244" s="1"/>
      <c r="D244" s="1"/>
      <c r="E244" s="1"/>
      <c r="F244" s="1"/>
      <c r="G244" s="1"/>
      <c r="H244" s="1"/>
    </row>
    <row r="245">
      <c r="A245" s="1"/>
      <c r="B245" s="1"/>
      <c r="C245" s="1"/>
      <c r="D245" s="1"/>
      <c r="E245" s="1"/>
      <c r="F245" s="1"/>
      <c r="G245" s="1"/>
      <c r="H245" s="1"/>
    </row>
    <row r="246">
      <c r="A246" s="1"/>
      <c r="B246" s="1"/>
      <c r="C246" s="1"/>
      <c r="D246" s="1"/>
      <c r="E246" s="1"/>
      <c r="F246" s="1"/>
      <c r="G246" s="1"/>
      <c r="H246" s="1"/>
    </row>
    <row r="247">
      <c r="A247" s="1"/>
      <c r="B247" s="1"/>
      <c r="C247" s="1"/>
      <c r="D247" s="1"/>
      <c r="E247" s="1"/>
      <c r="F247" s="1"/>
      <c r="G247" s="1"/>
      <c r="H247" s="1"/>
    </row>
    <row r="248">
      <c r="A248" s="1"/>
      <c r="B248" s="1"/>
      <c r="C248" s="1"/>
      <c r="D248" s="1"/>
      <c r="E248" s="1"/>
      <c r="F248" s="1"/>
      <c r="G248" s="1"/>
      <c r="H248" s="1"/>
    </row>
    <row r="249">
      <c r="A249" s="1"/>
      <c r="B249" s="1"/>
      <c r="C249" s="1"/>
      <c r="D249" s="1"/>
      <c r="E249" s="1"/>
      <c r="F249" s="1"/>
      <c r="G249" s="1"/>
      <c r="H249" s="1"/>
    </row>
    <row r="250">
      <c r="A250" s="1"/>
      <c r="B250" s="1"/>
      <c r="C250" s="1"/>
      <c r="D250" s="1"/>
      <c r="E250" s="1"/>
      <c r="F250" s="1"/>
      <c r="G250" s="1"/>
      <c r="H250" s="1"/>
    </row>
    <row r="251">
      <c r="A251" s="1"/>
      <c r="B251" s="1"/>
      <c r="C251" s="1"/>
      <c r="D251" s="1"/>
      <c r="E251" s="1"/>
      <c r="F251" s="1"/>
      <c r="G251" s="1"/>
      <c r="H251" s="1"/>
    </row>
    <row r="252">
      <c r="A252" s="1"/>
      <c r="B252" s="1"/>
      <c r="C252" s="1"/>
      <c r="D252" s="1"/>
      <c r="E252" s="1"/>
      <c r="F252" s="1"/>
      <c r="G252" s="1"/>
      <c r="H252" s="1"/>
    </row>
    <row r="253">
      <c r="A253" s="1"/>
      <c r="B253" s="1"/>
      <c r="C253" s="1"/>
      <c r="D253" s="1"/>
      <c r="E253" s="1"/>
      <c r="F253" s="1"/>
      <c r="G253" s="1"/>
      <c r="H253" s="1"/>
    </row>
    <row r="254">
      <c r="A254" s="1"/>
      <c r="B254" s="1"/>
      <c r="C254" s="1"/>
      <c r="D254" s="1"/>
      <c r="E254" s="1"/>
      <c r="F254" s="1"/>
      <c r="G254" s="1"/>
      <c r="H254" s="1"/>
    </row>
    <row r="255">
      <c r="A255" s="1"/>
      <c r="B255" s="1"/>
      <c r="C255" s="1"/>
      <c r="D255" s="1"/>
      <c r="E255" s="1"/>
      <c r="F255" s="1"/>
      <c r="G255" s="1"/>
      <c r="H255" s="1"/>
    </row>
    <row r="256">
      <c r="A256" s="1"/>
      <c r="B256" s="1"/>
      <c r="C256" s="1"/>
      <c r="D256" s="1"/>
      <c r="E256" s="1"/>
      <c r="F256" s="1"/>
      <c r="G256" s="1"/>
      <c r="H256" s="1"/>
    </row>
    <row r="257">
      <c r="A257" s="1"/>
      <c r="B257" s="1"/>
      <c r="C257" s="1"/>
      <c r="D257" s="1"/>
      <c r="E257" s="1"/>
      <c r="F257" s="2"/>
      <c r="G257" s="1"/>
      <c r="H257"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2715</v>
      </c>
      <c r="C2" s="1" t="s">
        <v>2716</v>
      </c>
      <c r="D2" s="1">
        <v>0.0</v>
      </c>
      <c r="E2" s="1" t="s">
        <v>15</v>
      </c>
      <c r="F2" s="1" t="s">
        <v>2717</v>
      </c>
      <c r="G2" s="1" t="s">
        <v>2718</v>
      </c>
      <c r="H2" s="1" t="s">
        <v>6</v>
      </c>
    </row>
    <row r="3">
      <c r="A3" s="1" t="s">
        <v>8</v>
      </c>
      <c r="B3" s="1" t="s">
        <v>2715</v>
      </c>
      <c r="C3" s="1" t="s">
        <v>2719</v>
      </c>
      <c r="D3" s="1" t="s">
        <v>2275</v>
      </c>
      <c r="E3" s="1" t="s">
        <v>2720</v>
      </c>
      <c r="F3" s="1" t="s">
        <v>1795</v>
      </c>
      <c r="G3" s="1" t="s">
        <v>2721</v>
      </c>
      <c r="H3" s="1" t="s">
        <v>3</v>
      </c>
    </row>
    <row r="4">
      <c r="A4" s="1" t="s">
        <v>8</v>
      </c>
      <c r="B4" s="1" t="s">
        <v>2715</v>
      </c>
      <c r="C4" s="1" t="s">
        <v>2722</v>
      </c>
      <c r="D4" s="1" t="s">
        <v>2723</v>
      </c>
      <c r="E4" s="1" t="s">
        <v>2724</v>
      </c>
      <c r="F4" s="1" t="s">
        <v>2725</v>
      </c>
      <c r="G4" s="1" t="s">
        <v>2726</v>
      </c>
      <c r="H4" s="1" t="s">
        <v>3</v>
      </c>
    </row>
    <row r="5">
      <c r="A5" s="1" t="s">
        <v>8</v>
      </c>
      <c r="B5" s="1" t="s">
        <v>2715</v>
      </c>
      <c r="C5" s="1" t="s">
        <v>2727</v>
      </c>
      <c r="D5" s="1" t="s">
        <v>2728</v>
      </c>
      <c r="E5" s="1" t="s">
        <v>2729</v>
      </c>
      <c r="F5" s="1" t="s">
        <v>2730</v>
      </c>
      <c r="G5" s="1" t="s">
        <v>2731</v>
      </c>
      <c r="H5" s="1" t="s">
        <v>5</v>
      </c>
    </row>
    <row r="6">
      <c r="A6" s="1" t="s">
        <v>8</v>
      </c>
      <c r="B6" s="1" t="s">
        <v>2715</v>
      </c>
      <c r="C6" s="1" t="s">
        <v>2732</v>
      </c>
      <c r="D6" s="1" t="s">
        <v>2733</v>
      </c>
      <c r="E6" s="1" t="s">
        <v>2734</v>
      </c>
      <c r="F6" s="1" t="s">
        <v>2735</v>
      </c>
      <c r="G6" s="1" t="s">
        <v>2736</v>
      </c>
      <c r="H6" s="1" t="s">
        <v>3</v>
      </c>
    </row>
    <row r="7">
      <c r="A7" s="1" t="s">
        <v>8</v>
      </c>
      <c r="B7" s="1" t="s">
        <v>2715</v>
      </c>
      <c r="C7" s="1" t="s">
        <v>2737</v>
      </c>
      <c r="D7" s="1" t="s">
        <v>1911</v>
      </c>
      <c r="E7" s="1" t="s">
        <v>2738</v>
      </c>
      <c r="F7" s="1" t="s">
        <v>1909</v>
      </c>
      <c r="G7" s="1" t="s">
        <v>2739</v>
      </c>
      <c r="H7" s="1" t="s">
        <v>4</v>
      </c>
    </row>
    <row r="8">
      <c r="A8" s="1" t="s">
        <v>8</v>
      </c>
      <c r="B8" s="1" t="s">
        <v>2715</v>
      </c>
      <c r="C8" s="1" t="s">
        <v>2740</v>
      </c>
      <c r="D8" s="1">
        <v>0.0</v>
      </c>
      <c r="E8" s="1">
        <v>1.0</v>
      </c>
      <c r="F8" s="1" t="s">
        <v>2741</v>
      </c>
      <c r="G8" s="1">
        <v>2.0</v>
      </c>
      <c r="H8" s="1" t="s">
        <v>4</v>
      </c>
    </row>
    <row r="9">
      <c r="A9" s="1" t="s">
        <v>8</v>
      </c>
      <c r="B9" s="1" t="s">
        <v>2715</v>
      </c>
      <c r="C9" s="1" t="s">
        <v>2742</v>
      </c>
      <c r="D9" s="1" t="s">
        <v>1910</v>
      </c>
      <c r="E9" s="1" t="s">
        <v>1911</v>
      </c>
      <c r="F9" s="1" t="s">
        <v>1912</v>
      </c>
      <c r="G9" s="1" t="s">
        <v>1945</v>
      </c>
      <c r="H9" s="1" t="s">
        <v>5</v>
      </c>
    </row>
    <row r="10">
      <c r="A10" s="1" t="s">
        <v>8</v>
      </c>
      <c r="B10" s="1" t="s">
        <v>2715</v>
      </c>
      <c r="C10" s="1" t="s">
        <v>2743</v>
      </c>
      <c r="D10" s="1">
        <v>1.0</v>
      </c>
      <c r="E10" s="1">
        <v>-1.0</v>
      </c>
      <c r="F10" s="1">
        <v>0.0</v>
      </c>
      <c r="G10" s="1">
        <v>2.0</v>
      </c>
      <c r="H10" s="1" t="s">
        <v>3</v>
      </c>
    </row>
    <row r="11">
      <c r="A11" s="1" t="s">
        <v>8</v>
      </c>
      <c r="B11" s="1" t="s">
        <v>2715</v>
      </c>
      <c r="C11" s="1" t="s">
        <v>2744</v>
      </c>
      <c r="D11" s="1" t="s">
        <v>1909</v>
      </c>
      <c r="E11" s="1" t="s">
        <v>1910</v>
      </c>
      <c r="F11" s="1" t="s">
        <v>1911</v>
      </c>
      <c r="G11" s="1" t="s">
        <v>1912</v>
      </c>
      <c r="H11" s="1" t="s">
        <v>4</v>
      </c>
    </row>
    <row r="12">
      <c r="A12" s="1" t="s">
        <v>8</v>
      </c>
      <c r="B12" s="1" t="s">
        <v>2715</v>
      </c>
      <c r="C12" s="1" t="s">
        <v>2745</v>
      </c>
      <c r="D12" s="1">
        <v>0.0</v>
      </c>
      <c r="E12" s="1">
        <v>1.0</v>
      </c>
      <c r="F12" s="1">
        <v>-1.0</v>
      </c>
      <c r="G12" s="1">
        <v>2.0</v>
      </c>
      <c r="H12" s="1" t="s">
        <v>4</v>
      </c>
    </row>
    <row r="13">
      <c r="A13" s="1" t="s">
        <v>8</v>
      </c>
      <c r="B13" s="1" t="s">
        <v>2715</v>
      </c>
      <c r="C13" s="1" t="s">
        <v>2746</v>
      </c>
      <c r="D13" s="1" t="s">
        <v>2747</v>
      </c>
      <c r="E13" s="1">
        <v>-1.0</v>
      </c>
      <c r="F13" s="1" t="s">
        <v>2748</v>
      </c>
      <c r="G13" s="1" t="s">
        <v>2749</v>
      </c>
      <c r="H13" s="1" t="s">
        <v>6</v>
      </c>
    </row>
    <row r="14">
      <c r="A14" s="1" t="s">
        <v>8</v>
      </c>
      <c r="B14" s="1" t="s">
        <v>2715</v>
      </c>
      <c r="C14" s="1" t="s">
        <v>2750</v>
      </c>
      <c r="D14" s="1" t="s">
        <v>2751</v>
      </c>
      <c r="E14" s="1" t="s">
        <v>2752</v>
      </c>
      <c r="F14" s="1" t="s">
        <v>2753</v>
      </c>
      <c r="G14" s="1" t="s">
        <v>2754</v>
      </c>
      <c r="H14" s="1" t="s">
        <v>3</v>
      </c>
    </row>
    <row r="15">
      <c r="A15" s="1" t="s">
        <v>8</v>
      </c>
      <c r="B15" s="1" t="s">
        <v>2715</v>
      </c>
      <c r="C15" s="1" t="s">
        <v>2755</v>
      </c>
      <c r="D15" s="1">
        <v>1.0</v>
      </c>
      <c r="E15" s="1">
        <v>9.0</v>
      </c>
      <c r="F15" s="1">
        <v>8.0</v>
      </c>
      <c r="G15" s="1">
        <v>0.0</v>
      </c>
      <c r="H15" s="1" t="s">
        <v>4</v>
      </c>
    </row>
    <row r="16">
      <c r="A16" s="1" t="s">
        <v>8</v>
      </c>
      <c r="B16" s="1" t="s">
        <v>2715</v>
      </c>
      <c r="C16" s="1" t="s">
        <v>2756</v>
      </c>
      <c r="D16" s="1" t="s">
        <v>2757</v>
      </c>
      <c r="E16" s="1" t="s">
        <v>2758</v>
      </c>
      <c r="F16" s="1" t="s">
        <v>2759</v>
      </c>
      <c r="G16" s="1" t="s">
        <v>2760</v>
      </c>
      <c r="H16" s="1" t="s">
        <v>4</v>
      </c>
    </row>
    <row r="17">
      <c r="A17" s="1" t="s">
        <v>8</v>
      </c>
      <c r="B17" s="1" t="s">
        <v>2715</v>
      </c>
      <c r="C17" s="1" t="s">
        <v>2761</v>
      </c>
      <c r="D17" s="1" t="s">
        <v>2721</v>
      </c>
      <c r="E17" s="1" t="s">
        <v>2720</v>
      </c>
      <c r="F17" s="1" t="s">
        <v>2741</v>
      </c>
      <c r="G17" s="1" t="s">
        <v>2762</v>
      </c>
      <c r="H17" s="1" t="s">
        <v>3</v>
      </c>
    </row>
    <row r="18">
      <c r="A18" s="1" t="s">
        <v>8</v>
      </c>
      <c r="B18" s="1" t="s">
        <v>2715</v>
      </c>
      <c r="C18" s="1" t="s">
        <v>2763</v>
      </c>
      <c r="D18" s="1" t="s">
        <v>2741</v>
      </c>
      <c r="E18" s="1">
        <v>1.0</v>
      </c>
      <c r="F18" s="1" t="s">
        <v>2764</v>
      </c>
      <c r="G18" s="1">
        <v>0.0</v>
      </c>
      <c r="H18" s="1" t="s">
        <v>4</v>
      </c>
    </row>
    <row r="19">
      <c r="A19" s="1" t="s">
        <v>8</v>
      </c>
      <c r="B19" s="1" t="s">
        <v>2715</v>
      </c>
      <c r="C19" s="1" t="s">
        <v>2765</v>
      </c>
      <c r="D19" s="1">
        <v>0.0</v>
      </c>
      <c r="E19" s="1">
        <v>1.0</v>
      </c>
      <c r="F19" s="1">
        <v>-1.0</v>
      </c>
      <c r="G19" s="1" t="s">
        <v>2741</v>
      </c>
      <c r="H19" s="1" t="s">
        <v>4</v>
      </c>
    </row>
    <row r="20">
      <c r="A20" s="1" t="s">
        <v>8</v>
      </c>
      <c r="B20" s="1" t="s">
        <v>2715</v>
      </c>
      <c r="C20" s="1" t="s">
        <v>2766</v>
      </c>
      <c r="D20" s="1" t="s">
        <v>2730</v>
      </c>
      <c r="E20" s="1" t="s">
        <v>2767</v>
      </c>
      <c r="F20" s="1" t="s">
        <v>2768</v>
      </c>
      <c r="G20" s="1" t="s">
        <v>2728</v>
      </c>
      <c r="H20" s="1" t="s">
        <v>4</v>
      </c>
    </row>
    <row r="21">
      <c r="A21" s="1" t="s">
        <v>8</v>
      </c>
      <c r="B21" s="1" t="s">
        <v>2715</v>
      </c>
      <c r="C21" s="1" t="s">
        <v>2769</v>
      </c>
      <c r="D21" s="1" t="s">
        <v>2759</v>
      </c>
      <c r="E21" s="1" t="s">
        <v>2770</v>
      </c>
      <c r="F21" s="1" t="s">
        <v>2760</v>
      </c>
      <c r="G21" s="1" t="s">
        <v>2757</v>
      </c>
      <c r="H21" s="1" t="s">
        <v>5</v>
      </c>
    </row>
    <row r="22">
      <c r="A22" s="1" t="s">
        <v>8</v>
      </c>
      <c r="B22" s="1" t="s">
        <v>2715</v>
      </c>
      <c r="C22" s="1" t="s">
        <v>2771</v>
      </c>
      <c r="D22" s="1" t="s">
        <v>2772</v>
      </c>
      <c r="E22" s="1" t="s">
        <v>2773</v>
      </c>
      <c r="F22" s="1" t="s">
        <v>1909</v>
      </c>
      <c r="G22" s="1" t="s">
        <v>1910</v>
      </c>
      <c r="H22" s="1" t="s">
        <v>4</v>
      </c>
    </row>
    <row r="23">
      <c r="A23" s="1" t="s">
        <v>8</v>
      </c>
      <c r="B23" s="1" t="s">
        <v>2774</v>
      </c>
      <c r="C23" s="1" t="s">
        <v>2775</v>
      </c>
      <c r="D23" s="1" t="s">
        <v>2776</v>
      </c>
      <c r="E23" s="1" t="s">
        <v>1680</v>
      </c>
      <c r="F23" s="1" t="s">
        <v>2777</v>
      </c>
      <c r="G23" s="1" t="s">
        <v>2778</v>
      </c>
      <c r="H23" s="1" t="s">
        <v>3</v>
      </c>
    </row>
    <row r="24">
      <c r="A24" s="1" t="s">
        <v>8</v>
      </c>
      <c r="B24" s="1" t="s">
        <v>2774</v>
      </c>
      <c r="C24" s="1" t="s">
        <v>2779</v>
      </c>
      <c r="D24" s="1" t="s">
        <v>2780</v>
      </c>
      <c r="E24" s="1" t="s">
        <v>2781</v>
      </c>
      <c r="F24" s="1" t="s">
        <v>2776</v>
      </c>
      <c r="G24" s="1" t="s">
        <v>2782</v>
      </c>
      <c r="H24" s="1" t="s">
        <v>3</v>
      </c>
    </row>
    <row r="25">
      <c r="A25" s="1" t="s">
        <v>8</v>
      </c>
      <c r="B25" s="1" t="s">
        <v>2774</v>
      </c>
      <c r="C25" s="1" t="s">
        <v>2783</v>
      </c>
      <c r="D25" s="1" t="s">
        <v>1909</v>
      </c>
      <c r="E25" s="1" t="s">
        <v>1910</v>
      </c>
      <c r="F25" s="1" t="s">
        <v>1911</v>
      </c>
      <c r="G25" s="1" t="s">
        <v>1912</v>
      </c>
      <c r="H25" s="1" t="s">
        <v>3</v>
      </c>
    </row>
    <row r="26">
      <c r="A26" s="1" t="s">
        <v>8</v>
      </c>
      <c r="B26" s="1" t="s">
        <v>2715</v>
      </c>
      <c r="C26" s="1" t="s">
        <v>2784</v>
      </c>
      <c r="D26" s="1" t="s">
        <v>2785</v>
      </c>
      <c r="E26" s="1" t="s">
        <v>2786</v>
      </c>
      <c r="F26" s="1" t="s">
        <v>2787</v>
      </c>
      <c r="G26" s="1" t="s">
        <v>2788</v>
      </c>
      <c r="H26" s="1" t="s">
        <v>4</v>
      </c>
    </row>
    <row r="27">
      <c r="A27" s="1" t="s">
        <v>8</v>
      </c>
      <c r="B27" s="1" t="s">
        <v>2715</v>
      </c>
      <c r="C27" s="1" t="s">
        <v>2789</v>
      </c>
      <c r="D27" s="1">
        <v>3.1416</v>
      </c>
      <c r="E27" s="1">
        <v>3.1428</v>
      </c>
      <c r="F27" s="1">
        <v>3.14</v>
      </c>
      <c r="G27" s="2">
        <v>46225.0</v>
      </c>
      <c r="H27" s="1" t="s">
        <v>3</v>
      </c>
    </row>
    <row r="28">
      <c r="A28" s="1" t="s">
        <v>8</v>
      </c>
      <c r="B28" s="1" t="s">
        <v>2715</v>
      </c>
      <c r="C28" s="1" t="s">
        <v>2790</v>
      </c>
      <c r="D28" s="1" t="s">
        <v>2791</v>
      </c>
      <c r="E28" s="1" t="s">
        <v>2792</v>
      </c>
      <c r="F28" s="1" t="s">
        <v>2793</v>
      </c>
      <c r="G28" s="1" t="s">
        <v>2794</v>
      </c>
      <c r="H28" s="1" t="s">
        <v>3</v>
      </c>
    </row>
    <row r="29">
      <c r="A29" s="1" t="s">
        <v>8</v>
      </c>
      <c r="B29" s="1" t="s">
        <v>2715</v>
      </c>
      <c r="C29" s="1" t="s">
        <v>2795</v>
      </c>
      <c r="D29" s="1" t="s">
        <v>2796</v>
      </c>
      <c r="E29" s="1" t="s">
        <v>2797</v>
      </c>
      <c r="F29" s="1">
        <v>1.0</v>
      </c>
      <c r="G29" s="1">
        <v>0.0</v>
      </c>
      <c r="H29" s="1" t="s">
        <v>3</v>
      </c>
    </row>
    <row r="30">
      <c r="A30" s="1" t="s">
        <v>8</v>
      </c>
      <c r="B30" s="1" t="s">
        <v>2715</v>
      </c>
      <c r="C30" s="1" t="s">
        <v>2798</v>
      </c>
      <c r="D30" s="1" t="s">
        <v>2564</v>
      </c>
      <c r="E30" s="1" t="s">
        <v>2565</v>
      </c>
      <c r="F30" s="1" t="s">
        <v>2566</v>
      </c>
      <c r="G30" s="1" t="s">
        <v>2567</v>
      </c>
      <c r="H30" s="1" t="s">
        <v>4</v>
      </c>
    </row>
    <row r="31">
      <c r="A31" s="1" t="s">
        <v>8</v>
      </c>
      <c r="B31" s="1" t="s">
        <v>2715</v>
      </c>
      <c r="C31" s="1" t="s">
        <v>2799</v>
      </c>
      <c r="D31" s="1">
        <v>1.0</v>
      </c>
      <c r="E31" s="1">
        <v>3.0</v>
      </c>
      <c r="F31" s="1" t="s">
        <v>77</v>
      </c>
      <c r="G31" s="1" t="s">
        <v>2717</v>
      </c>
      <c r="H31" s="1" t="s">
        <v>4</v>
      </c>
    </row>
    <row r="32">
      <c r="A32" s="1" t="s">
        <v>8</v>
      </c>
      <c r="B32" s="1" t="s">
        <v>2715</v>
      </c>
      <c r="C32" s="1" t="s">
        <v>2800</v>
      </c>
      <c r="D32" s="1" t="s">
        <v>2801</v>
      </c>
      <c r="E32" s="1" t="s">
        <v>2735</v>
      </c>
      <c r="F32" s="1" t="s">
        <v>2733</v>
      </c>
      <c r="G32" s="1" t="s">
        <v>2734</v>
      </c>
      <c r="H32" s="1" t="s">
        <v>3</v>
      </c>
    </row>
    <row r="33">
      <c r="A33" s="1" t="s">
        <v>8</v>
      </c>
      <c r="B33" s="1" t="s">
        <v>2715</v>
      </c>
      <c r="C33" s="1" t="s">
        <v>2802</v>
      </c>
      <c r="D33" s="1" t="s">
        <v>2747</v>
      </c>
      <c r="E33" s="1" t="s">
        <v>2803</v>
      </c>
      <c r="F33" s="1" t="s">
        <v>2749</v>
      </c>
      <c r="G33" s="1" t="s">
        <v>2748</v>
      </c>
      <c r="H33" s="1" t="s">
        <v>4</v>
      </c>
    </row>
    <row r="34">
      <c r="A34" s="1" t="s">
        <v>8</v>
      </c>
      <c r="B34" s="1" t="s">
        <v>2715</v>
      </c>
      <c r="C34" s="1" t="s">
        <v>2804</v>
      </c>
      <c r="D34" s="1" t="s">
        <v>2726</v>
      </c>
      <c r="E34" s="1" t="s">
        <v>2725</v>
      </c>
      <c r="F34" s="1">
        <v>1.0</v>
      </c>
      <c r="G34" s="1" t="s">
        <v>2723</v>
      </c>
      <c r="H34" s="1" t="s">
        <v>4</v>
      </c>
    </row>
    <row r="35">
      <c r="A35" s="1" t="s">
        <v>8</v>
      </c>
      <c r="B35" s="1" t="s">
        <v>2715</v>
      </c>
      <c r="C35" s="1" t="s">
        <v>2805</v>
      </c>
      <c r="D35" s="1" t="s">
        <v>2730</v>
      </c>
      <c r="E35" s="1" t="s">
        <v>2729</v>
      </c>
      <c r="F35" s="1" t="s">
        <v>2728</v>
      </c>
      <c r="G35" s="1" t="s">
        <v>2731</v>
      </c>
      <c r="H35" s="1" t="s">
        <v>5</v>
      </c>
    </row>
    <row r="36">
      <c r="A36" s="1" t="s">
        <v>8</v>
      </c>
      <c r="B36" s="1" t="s">
        <v>2715</v>
      </c>
      <c r="C36" s="1" t="s">
        <v>2806</v>
      </c>
      <c r="D36" s="1">
        <v>3.0</v>
      </c>
      <c r="E36" s="1">
        <v>4.0</v>
      </c>
      <c r="F36" s="1">
        <v>5.0</v>
      </c>
      <c r="G36" s="1">
        <v>1.0</v>
      </c>
      <c r="H36" s="1" t="s">
        <v>4</v>
      </c>
    </row>
    <row r="37">
      <c r="A37" s="1" t="s">
        <v>8</v>
      </c>
      <c r="B37" s="1" t="s">
        <v>2715</v>
      </c>
      <c r="C37" s="1" t="s">
        <v>2807</v>
      </c>
      <c r="D37" s="1" t="s">
        <v>2808</v>
      </c>
      <c r="E37" s="1" t="s">
        <v>2809</v>
      </c>
      <c r="F37" s="1" t="s">
        <v>2810</v>
      </c>
      <c r="G37" s="1" t="s">
        <v>2811</v>
      </c>
      <c r="H37" s="1" t="s">
        <v>4</v>
      </c>
    </row>
    <row r="38">
      <c r="A38" s="1" t="s">
        <v>8</v>
      </c>
      <c r="B38" s="1" t="s">
        <v>2715</v>
      </c>
      <c r="C38" s="1" t="s">
        <v>2812</v>
      </c>
      <c r="D38" s="1" t="s">
        <v>1909</v>
      </c>
      <c r="E38" s="1" t="s">
        <v>1910</v>
      </c>
      <c r="F38" s="1" t="s">
        <v>1911</v>
      </c>
      <c r="G38" s="1" t="s">
        <v>1912</v>
      </c>
      <c r="H38" s="1" t="s">
        <v>3</v>
      </c>
    </row>
    <row r="39">
      <c r="A39" s="1" t="s">
        <v>8</v>
      </c>
      <c r="B39" s="1" t="s">
        <v>2715</v>
      </c>
      <c r="C39" s="1" t="s">
        <v>2813</v>
      </c>
      <c r="D39" s="1" t="s">
        <v>2724</v>
      </c>
      <c r="E39" s="1" t="s">
        <v>2814</v>
      </c>
      <c r="F39" s="1" t="s">
        <v>2725</v>
      </c>
      <c r="G39" s="1" t="s">
        <v>2726</v>
      </c>
      <c r="H39" s="1" t="s">
        <v>5</v>
      </c>
    </row>
    <row r="40">
      <c r="A40" s="1" t="s">
        <v>8</v>
      </c>
      <c r="B40" s="1" t="s">
        <v>2715</v>
      </c>
      <c r="C40" s="1" t="s">
        <v>2815</v>
      </c>
      <c r="D40" s="1" t="s">
        <v>2770</v>
      </c>
      <c r="E40" s="1" t="s">
        <v>2759</v>
      </c>
      <c r="F40" s="1" t="s">
        <v>2760</v>
      </c>
      <c r="G40" s="1" t="s">
        <v>2757</v>
      </c>
      <c r="H40" s="1" t="s">
        <v>3</v>
      </c>
    </row>
    <row r="41">
      <c r="A41" s="1" t="s">
        <v>8</v>
      </c>
      <c r="B41" s="1" t="s">
        <v>2715</v>
      </c>
      <c r="C41" s="1" t="s">
        <v>2816</v>
      </c>
      <c r="D41" s="1" t="s">
        <v>2814</v>
      </c>
      <c r="E41" s="1" t="s">
        <v>2725</v>
      </c>
      <c r="F41" s="1" t="s">
        <v>2817</v>
      </c>
      <c r="G41" s="1" t="s">
        <v>2723</v>
      </c>
      <c r="H41" s="1" t="s">
        <v>3</v>
      </c>
    </row>
    <row r="42">
      <c r="A42" s="1" t="s">
        <v>8</v>
      </c>
      <c r="B42" s="1" t="s">
        <v>2715</v>
      </c>
      <c r="C42" s="1" t="s">
        <v>2818</v>
      </c>
      <c r="D42" s="1">
        <v>0.0</v>
      </c>
      <c r="E42" s="1">
        <v>1.0</v>
      </c>
      <c r="F42" s="1">
        <v>-1.0</v>
      </c>
      <c r="G42" s="1">
        <v>2.0</v>
      </c>
      <c r="H42" s="1" t="s">
        <v>4</v>
      </c>
    </row>
    <row r="43">
      <c r="A43" s="1" t="s">
        <v>8</v>
      </c>
      <c r="B43" s="1" t="s">
        <v>2715</v>
      </c>
      <c r="C43" s="1" t="s">
        <v>2819</v>
      </c>
      <c r="D43" s="1" t="s">
        <v>2741</v>
      </c>
      <c r="E43" s="1" t="s">
        <v>2764</v>
      </c>
      <c r="F43" s="1">
        <v>1.0</v>
      </c>
      <c r="G43" s="1" t="s">
        <v>2820</v>
      </c>
      <c r="H43" s="1" t="s">
        <v>3</v>
      </c>
    </row>
    <row r="44">
      <c r="A44" s="1" t="s">
        <v>8</v>
      </c>
      <c r="B44" s="1" t="s">
        <v>2715</v>
      </c>
      <c r="C44" s="1" t="s">
        <v>2821</v>
      </c>
      <c r="D44" s="1">
        <v>0.0</v>
      </c>
      <c r="E44" s="1">
        <v>1.0</v>
      </c>
      <c r="F44" s="1" t="s">
        <v>15</v>
      </c>
      <c r="G44" s="1" t="s">
        <v>2717</v>
      </c>
      <c r="H44" s="1" t="s">
        <v>4</v>
      </c>
    </row>
    <row r="45">
      <c r="A45" s="1" t="s">
        <v>8</v>
      </c>
      <c r="B45" s="1" t="s">
        <v>2715</v>
      </c>
      <c r="C45" s="1" t="s">
        <v>2822</v>
      </c>
      <c r="D45" s="1" t="s">
        <v>2747</v>
      </c>
      <c r="E45" s="1" t="s">
        <v>2748</v>
      </c>
      <c r="F45" s="1" t="s">
        <v>2749</v>
      </c>
      <c r="G45" s="1" t="s">
        <v>2823</v>
      </c>
      <c r="H45" s="1" t="s">
        <v>4</v>
      </c>
    </row>
    <row r="46">
      <c r="A46" s="1" t="s">
        <v>8</v>
      </c>
      <c r="B46" s="1" t="s">
        <v>2715</v>
      </c>
      <c r="C46" s="1" t="s">
        <v>2824</v>
      </c>
      <c r="D46" s="1" t="s">
        <v>2825</v>
      </c>
      <c r="E46" s="1" t="s">
        <v>2826</v>
      </c>
      <c r="F46" s="1" t="s">
        <v>2827</v>
      </c>
      <c r="G46" s="1" t="s">
        <v>2828</v>
      </c>
      <c r="H46" s="1" t="s">
        <v>3</v>
      </c>
    </row>
    <row r="47">
      <c r="A47" s="1" t="s">
        <v>8</v>
      </c>
      <c r="B47" s="1" t="s">
        <v>2715</v>
      </c>
      <c r="C47" s="1" t="s">
        <v>2829</v>
      </c>
      <c r="D47" s="1" t="s">
        <v>2830</v>
      </c>
      <c r="E47" s="1" t="s">
        <v>2587</v>
      </c>
      <c r="F47" s="1" t="s">
        <v>77</v>
      </c>
      <c r="G47" s="1" t="s">
        <v>2831</v>
      </c>
      <c r="H47" s="1" t="s">
        <v>3</v>
      </c>
    </row>
    <row r="48">
      <c r="A48" s="1" t="s">
        <v>8</v>
      </c>
      <c r="B48" s="1" t="s">
        <v>2715</v>
      </c>
      <c r="C48" s="1" t="s">
        <v>2832</v>
      </c>
      <c r="D48" s="1">
        <v>1.0</v>
      </c>
      <c r="E48" s="1">
        <v>0.0</v>
      </c>
      <c r="F48" s="1">
        <v>2.0</v>
      </c>
      <c r="G48" s="1">
        <v>-1.0</v>
      </c>
      <c r="H48" s="1" t="s">
        <v>4</v>
      </c>
    </row>
    <row r="49">
      <c r="A49" s="1" t="s">
        <v>8</v>
      </c>
      <c r="B49" s="1" t="s">
        <v>2715</v>
      </c>
      <c r="C49" s="1" t="s">
        <v>2833</v>
      </c>
      <c r="D49" s="1" t="s">
        <v>2834</v>
      </c>
      <c r="E49" s="1" t="s">
        <v>2764</v>
      </c>
      <c r="F49" s="1">
        <v>2.0</v>
      </c>
      <c r="G49" s="1" t="s">
        <v>2741</v>
      </c>
      <c r="H49" s="1" t="s">
        <v>5</v>
      </c>
    </row>
    <row r="50">
      <c r="A50" s="1" t="s">
        <v>8</v>
      </c>
      <c r="B50" s="1" t="s">
        <v>2715</v>
      </c>
      <c r="C50" s="1" t="s">
        <v>2835</v>
      </c>
      <c r="D50" s="1" t="s">
        <v>2836</v>
      </c>
      <c r="E50" s="1">
        <v>1.0</v>
      </c>
      <c r="F50" s="1" t="s">
        <v>2837</v>
      </c>
      <c r="G50" s="1">
        <v>0.0</v>
      </c>
      <c r="H50" s="1" t="s">
        <v>6</v>
      </c>
    </row>
    <row r="51">
      <c r="A51" s="1" t="s">
        <v>8</v>
      </c>
      <c r="B51" s="1" t="s">
        <v>2715</v>
      </c>
      <c r="C51" s="1" t="s">
        <v>2838</v>
      </c>
      <c r="D51" s="1">
        <v>1.0</v>
      </c>
      <c r="E51" s="1">
        <v>2.0</v>
      </c>
      <c r="F51" s="1" t="s">
        <v>2741</v>
      </c>
      <c r="G51" s="1" t="s">
        <v>2764</v>
      </c>
      <c r="H51" s="1" t="s">
        <v>3</v>
      </c>
    </row>
    <row r="52">
      <c r="A52" s="1" t="s">
        <v>8</v>
      </c>
      <c r="B52" s="1" t="s">
        <v>2715</v>
      </c>
      <c r="C52" s="1" t="s">
        <v>2839</v>
      </c>
      <c r="D52" s="1" t="s">
        <v>1909</v>
      </c>
      <c r="E52" s="1" t="s">
        <v>1910</v>
      </c>
      <c r="F52" s="1" t="s">
        <v>1911</v>
      </c>
      <c r="G52" s="1" t="s">
        <v>2840</v>
      </c>
      <c r="H52" s="1" t="s">
        <v>3</v>
      </c>
    </row>
    <row r="53">
      <c r="A53" s="1" t="s">
        <v>8</v>
      </c>
      <c r="B53" s="1" t="s">
        <v>2715</v>
      </c>
      <c r="C53" s="1" t="s">
        <v>2841</v>
      </c>
      <c r="D53" s="1">
        <v>1.0</v>
      </c>
      <c r="E53" s="1">
        <v>9.0</v>
      </c>
      <c r="F53" s="1">
        <v>8.0</v>
      </c>
      <c r="G53" s="1">
        <v>0.0</v>
      </c>
      <c r="H53" s="1" t="s">
        <v>4</v>
      </c>
    </row>
    <row r="54">
      <c r="A54" s="1" t="s">
        <v>8</v>
      </c>
      <c r="B54" s="1" t="s">
        <v>2715</v>
      </c>
      <c r="C54" s="1" t="s">
        <v>2842</v>
      </c>
      <c r="D54" s="1">
        <v>1.0</v>
      </c>
      <c r="E54" s="1">
        <v>2.0</v>
      </c>
      <c r="F54" s="1" t="s">
        <v>2843</v>
      </c>
      <c r="G54" s="1">
        <v>0.0</v>
      </c>
      <c r="H54" s="1" t="s">
        <v>3</v>
      </c>
    </row>
    <row r="55">
      <c r="A55" s="1" t="s">
        <v>8</v>
      </c>
      <c r="B55" s="1" t="s">
        <v>2715</v>
      </c>
      <c r="C55" s="1" t="s">
        <v>2844</v>
      </c>
      <c r="D55" s="1" t="s">
        <v>2845</v>
      </c>
      <c r="E55" s="1" t="s">
        <v>2828</v>
      </c>
      <c r="F55" s="1" t="s">
        <v>2827</v>
      </c>
      <c r="G55" s="1" t="s">
        <v>2846</v>
      </c>
      <c r="H55" s="1" t="s">
        <v>3</v>
      </c>
    </row>
    <row r="56">
      <c r="A56" s="1" t="s">
        <v>8</v>
      </c>
      <c r="B56" s="1" t="s">
        <v>2715</v>
      </c>
      <c r="C56" s="1" t="s">
        <v>2847</v>
      </c>
      <c r="D56" s="1">
        <v>0.0</v>
      </c>
      <c r="E56" s="1">
        <v>1.0</v>
      </c>
      <c r="F56" s="1" t="s">
        <v>2741</v>
      </c>
      <c r="G56" s="1" t="s">
        <v>2843</v>
      </c>
      <c r="H56" s="1" t="s">
        <v>4</v>
      </c>
    </row>
    <row r="57">
      <c r="A57" s="1" t="s">
        <v>8</v>
      </c>
      <c r="B57" s="1" t="s">
        <v>2715</v>
      </c>
      <c r="C57" s="1" t="s">
        <v>2848</v>
      </c>
      <c r="D57" s="1" t="s">
        <v>2849</v>
      </c>
      <c r="E57" s="1" t="s">
        <v>2850</v>
      </c>
      <c r="F57" s="1" t="s">
        <v>2851</v>
      </c>
      <c r="G57" s="1" t="s">
        <v>2852</v>
      </c>
      <c r="H57" s="1" t="s">
        <v>6</v>
      </c>
    </row>
    <row r="58">
      <c r="A58" s="1" t="s">
        <v>8</v>
      </c>
      <c r="B58" s="1" t="s">
        <v>2715</v>
      </c>
      <c r="C58" s="1" t="s">
        <v>2853</v>
      </c>
      <c r="D58" s="1" t="s">
        <v>2854</v>
      </c>
      <c r="E58" s="1" t="s">
        <v>2855</v>
      </c>
      <c r="F58" s="1" t="s">
        <v>2856</v>
      </c>
      <c r="G58" s="1" t="s">
        <v>2857</v>
      </c>
      <c r="H58" s="1" t="s">
        <v>3</v>
      </c>
    </row>
    <row r="59">
      <c r="A59" s="1" t="s">
        <v>8</v>
      </c>
      <c r="B59" s="1" t="s">
        <v>2715</v>
      </c>
      <c r="C59" s="1" t="s">
        <v>2858</v>
      </c>
      <c r="D59" s="1">
        <v>22.0</v>
      </c>
      <c r="E59" s="1">
        <v>1.0</v>
      </c>
      <c r="F59" s="1">
        <v>0.0</v>
      </c>
      <c r="G59" s="1">
        <v>-1.0</v>
      </c>
      <c r="H59" s="1" t="s">
        <v>4</v>
      </c>
    </row>
    <row r="60">
      <c r="A60" s="1" t="s">
        <v>8</v>
      </c>
      <c r="B60" s="1" t="s">
        <v>2715</v>
      </c>
      <c r="C60" s="1" t="s">
        <v>2859</v>
      </c>
      <c r="D60" s="1" t="s">
        <v>2860</v>
      </c>
      <c r="E60" s="1" t="s">
        <v>2861</v>
      </c>
      <c r="F60" s="1" t="s">
        <v>2862</v>
      </c>
      <c r="G60" s="1" t="s">
        <v>2275</v>
      </c>
      <c r="H60" s="1" t="s">
        <v>3</v>
      </c>
    </row>
    <row r="61">
      <c r="A61" s="1" t="s">
        <v>8</v>
      </c>
      <c r="B61" s="1" t="s">
        <v>2715</v>
      </c>
      <c r="C61" s="1" t="s">
        <v>2863</v>
      </c>
      <c r="D61" s="1" t="s">
        <v>2864</v>
      </c>
      <c r="E61" s="1" t="s">
        <v>2865</v>
      </c>
      <c r="F61" s="1" t="s">
        <v>2866</v>
      </c>
      <c r="G61" s="1" t="s">
        <v>2867</v>
      </c>
      <c r="H61" s="1" t="s">
        <v>4</v>
      </c>
    </row>
    <row r="62">
      <c r="A62" s="1" t="s">
        <v>8</v>
      </c>
      <c r="B62" s="1" t="s">
        <v>2715</v>
      </c>
      <c r="C62" s="1" t="s">
        <v>2799</v>
      </c>
      <c r="D62" s="1">
        <v>1.0</v>
      </c>
      <c r="E62" s="1">
        <v>3.0</v>
      </c>
      <c r="F62" s="1" t="s">
        <v>77</v>
      </c>
      <c r="G62" s="1" t="s">
        <v>2717</v>
      </c>
      <c r="H62" s="1" t="s">
        <v>4</v>
      </c>
    </row>
    <row r="63">
      <c r="A63" s="1" t="s">
        <v>8</v>
      </c>
      <c r="B63" s="1" t="s">
        <v>2715</v>
      </c>
      <c r="C63" s="1" t="s">
        <v>2868</v>
      </c>
      <c r="D63" s="1" t="s">
        <v>1909</v>
      </c>
      <c r="E63" s="1" t="s">
        <v>1910</v>
      </c>
      <c r="F63" s="1" t="s">
        <v>1911</v>
      </c>
      <c r="G63" s="1" t="s">
        <v>1912</v>
      </c>
      <c r="H63" s="1" t="s">
        <v>4</v>
      </c>
    </row>
    <row r="64">
      <c r="A64" s="1" t="s">
        <v>8</v>
      </c>
      <c r="B64" s="1" t="s">
        <v>2715</v>
      </c>
      <c r="C64" s="1" t="s">
        <v>2869</v>
      </c>
      <c r="D64" s="1" t="s">
        <v>2747</v>
      </c>
      <c r="E64" s="1">
        <v>-1.0</v>
      </c>
      <c r="F64" s="1" t="s">
        <v>2748</v>
      </c>
      <c r="G64" s="1" t="s">
        <v>2749</v>
      </c>
      <c r="H64" s="1" t="s">
        <v>6</v>
      </c>
    </row>
    <row r="65">
      <c r="A65" s="1" t="s">
        <v>8</v>
      </c>
      <c r="B65" s="1" t="s">
        <v>2715</v>
      </c>
      <c r="C65" s="1" t="s">
        <v>2870</v>
      </c>
      <c r="D65" s="1" t="s">
        <v>2871</v>
      </c>
      <c r="E65" s="1" t="s">
        <v>1909</v>
      </c>
      <c r="F65" s="1" t="s">
        <v>1910</v>
      </c>
      <c r="G65" s="1" t="s">
        <v>1911</v>
      </c>
      <c r="H65" s="1" t="s">
        <v>3</v>
      </c>
    </row>
    <row r="66">
      <c r="A66" s="1" t="s">
        <v>8</v>
      </c>
      <c r="B66" s="1" t="s">
        <v>2715</v>
      </c>
      <c r="C66" s="1" t="s">
        <v>2872</v>
      </c>
      <c r="D66" s="1" t="s">
        <v>223</v>
      </c>
      <c r="E66" s="1" t="s">
        <v>2820</v>
      </c>
      <c r="F66" s="1">
        <v>2.0</v>
      </c>
      <c r="G66" s="1">
        <v>1.0</v>
      </c>
      <c r="H66" s="1" t="s">
        <v>3</v>
      </c>
    </row>
    <row r="67">
      <c r="A67" s="1" t="s">
        <v>8</v>
      </c>
      <c r="B67" s="1" t="s">
        <v>2715</v>
      </c>
      <c r="C67" s="1" t="s">
        <v>2873</v>
      </c>
      <c r="D67" s="1" t="s">
        <v>2874</v>
      </c>
      <c r="E67" s="1" t="s">
        <v>2875</v>
      </c>
      <c r="F67" s="1" t="s">
        <v>2741</v>
      </c>
      <c r="G67" s="1">
        <v>1.0</v>
      </c>
      <c r="H67" s="1" t="s">
        <v>3</v>
      </c>
    </row>
    <row r="68">
      <c r="A68" s="1" t="s">
        <v>8</v>
      </c>
      <c r="B68" s="1" t="s">
        <v>2715</v>
      </c>
      <c r="C68" s="1" t="s">
        <v>2876</v>
      </c>
      <c r="D68" s="1">
        <v>0.0</v>
      </c>
      <c r="E68" s="1">
        <v>1.0</v>
      </c>
      <c r="F68" s="1">
        <v>-1.0</v>
      </c>
      <c r="G68" s="1">
        <v>2.0</v>
      </c>
      <c r="H68" s="1" t="s">
        <v>4</v>
      </c>
    </row>
    <row r="69">
      <c r="A69" s="1" t="s">
        <v>8</v>
      </c>
      <c r="B69" s="1" t="s">
        <v>2715</v>
      </c>
      <c r="C69" s="1" t="s">
        <v>2877</v>
      </c>
      <c r="D69" s="1" t="s">
        <v>2878</v>
      </c>
      <c r="E69" s="1" t="s">
        <v>2728</v>
      </c>
      <c r="F69" s="1" t="s">
        <v>2879</v>
      </c>
      <c r="G69" s="1">
        <v>0.0</v>
      </c>
      <c r="H69" s="1" t="s">
        <v>3</v>
      </c>
    </row>
    <row r="70">
      <c r="A70" s="1" t="s">
        <v>8</v>
      </c>
      <c r="B70" s="1" t="s">
        <v>2715</v>
      </c>
      <c r="C70" s="1" t="s">
        <v>2880</v>
      </c>
      <c r="D70" s="1" t="s">
        <v>2741</v>
      </c>
      <c r="E70" s="1" t="s">
        <v>2764</v>
      </c>
      <c r="F70" s="1" t="s">
        <v>2820</v>
      </c>
      <c r="G70" s="1">
        <v>0.0</v>
      </c>
      <c r="H70" s="1" t="s">
        <v>4</v>
      </c>
    </row>
    <row r="71">
      <c r="A71" s="1" t="s">
        <v>8</v>
      </c>
      <c r="B71" s="1" t="s">
        <v>2715</v>
      </c>
      <c r="C71" s="1" t="s">
        <v>2881</v>
      </c>
      <c r="D71" s="1" t="s">
        <v>2882</v>
      </c>
      <c r="E71" s="1" t="s">
        <v>2883</v>
      </c>
      <c r="F71" s="1" t="s">
        <v>2884</v>
      </c>
      <c r="G71" s="1" t="s">
        <v>2885</v>
      </c>
      <c r="H71" s="1" t="s">
        <v>6</v>
      </c>
    </row>
    <row r="72">
      <c r="A72" s="1" t="s">
        <v>8</v>
      </c>
      <c r="B72" s="1" t="s">
        <v>2715</v>
      </c>
      <c r="C72" s="1" t="s">
        <v>2886</v>
      </c>
      <c r="D72" s="1" t="s">
        <v>2887</v>
      </c>
      <c r="E72" s="1" t="s">
        <v>2888</v>
      </c>
      <c r="F72" s="1" t="s">
        <v>2889</v>
      </c>
      <c r="G72" s="1" t="s">
        <v>2817</v>
      </c>
      <c r="H72" s="1" t="s">
        <v>4</v>
      </c>
    </row>
    <row r="73">
      <c r="A73" s="1" t="s">
        <v>8</v>
      </c>
      <c r="B73" s="1" t="s">
        <v>2715</v>
      </c>
      <c r="C73" s="1" t="s">
        <v>2890</v>
      </c>
      <c r="D73" s="1" t="s">
        <v>2741</v>
      </c>
      <c r="E73" s="1">
        <v>1.0</v>
      </c>
      <c r="F73" s="1">
        <v>0.0</v>
      </c>
      <c r="G73" s="1" t="s">
        <v>2764</v>
      </c>
      <c r="H73" s="1" t="s">
        <v>3</v>
      </c>
    </row>
    <row r="74">
      <c r="A74" s="1" t="s">
        <v>8</v>
      </c>
      <c r="B74" s="1" t="s">
        <v>2715</v>
      </c>
      <c r="C74" s="1" t="s">
        <v>2891</v>
      </c>
      <c r="D74" s="1">
        <v>0.0</v>
      </c>
      <c r="E74" s="1">
        <v>1.0</v>
      </c>
      <c r="F74" s="1" t="s">
        <v>2741</v>
      </c>
      <c r="G74" s="1" t="s">
        <v>15</v>
      </c>
      <c r="H74" s="1" t="s">
        <v>3</v>
      </c>
    </row>
    <row r="75">
      <c r="A75" s="1" t="s">
        <v>8</v>
      </c>
      <c r="B75" s="1" t="s">
        <v>2715</v>
      </c>
      <c r="C75" s="1" t="s">
        <v>2892</v>
      </c>
      <c r="D75" s="1" t="s">
        <v>2730</v>
      </c>
      <c r="E75" s="1" t="s">
        <v>2893</v>
      </c>
      <c r="F75" s="1" t="s">
        <v>2884</v>
      </c>
      <c r="G75" s="1" t="s">
        <v>2894</v>
      </c>
      <c r="H75" s="1" t="s">
        <v>4</v>
      </c>
    </row>
    <row r="76">
      <c r="A76" s="1" t="s">
        <v>8</v>
      </c>
      <c r="B76" s="1" t="s">
        <v>2715</v>
      </c>
      <c r="C76" s="1" t="s">
        <v>2895</v>
      </c>
      <c r="D76" s="1" t="s">
        <v>2896</v>
      </c>
      <c r="E76" s="1" t="s">
        <v>77</v>
      </c>
      <c r="F76" s="1" t="s">
        <v>2637</v>
      </c>
      <c r="G76" s="1" t="s">
        <v>2897</v>
      </c>
      <c r="H76" s="1" t="s">
        <v>3</v>
      </c>
    </row>
    <row r="77">
      <c r="A77" s="1" t="s">
        <v>8</v>
      </c>
      <c r="B77" s="1" t="s">
        <v>2715</v>
      </c>
      <c r="C77" s="1" t="s">
        <v>2898</v>
      </c>
      <c r="D77" s="1" t="s">
        <v>2899</v>
      </c>
      <c r="E77" s="1" t="s">
        <v>2900</v>
      </c>
      <c r="F77" s="1" t="s">
        <v>2901</v>
      </c>
      <c r="G77" s="1" t="s">
        <v>2902</v>
      </c>
      <c r="H77" s="1" t="s">
        <v>3</v>
      </c>
    </row>
    <row r="78">
      <c r="A78" s="1" t="s">
        <v>8</v>
      </c>
      <c r="B78" s="1" t="s">
        <v>2715</v>
      </c>
      <c r="C78" s="1" t="s">
        <v>2903</v>
      </c>
      <c r="D78" s="1" t="s">
        <v>77</v>
      </c>
      <c r="E78" s="1" t="s">
        <v>2717</v>
      </c>
      <c r="F78" s="1">
        <v>1.0</v>
      </c>
      <c r="G78" s="1">
        <v>3.0</v>
      </c>
      <c r="H78" s="1" t="s">
        <v>3</v>
      </c>
    </row>
    <row r="79">
      <c r="A79" s="1" t="s">
        <v>8</v>
      </c>
      <c r="B79" s="1" t="s">
        <v>2715</v>
      </c>
      <c r="C79" s="1" t="s">
        <v>2904</v>
      </c>
      <c r="D79" s="1" t="s">
        <v>2905</v>
      </c>
      <c r="E79" s="1" t="s">
        <v>2828</v>
      </c>
      <c r="F79" s="1" t="s">
        <v>2906</v>
      </c>
      <c r="G79" s="1" t="s">
        <v>2846</v>
      </c>
      <c r="H79" s="1" t="s">
        <v>5</v>
      </c>
    </row>
    <row r="80">
      <c r="A80" s="1" t="s">
        <v>8</v>
      </c>
      <c r="B80" s="1" t="s">
        <v>2715</v>
      </c>
      <c r="C80" s="1" t="s">
        <v>2907</v>
      </c>
      <c r="D80" s="1" t="s">
        <v>2759</v>
      </c>
      <c r="E80" s="1" t="s">
        <v>2770</v>
      </c>
      <c r="F80" s="1" t="s">
        <v>2760</v>
      </c>
      <c r="G80" s="1" t="s">
        <v>2757</v>
      </c>
      <c r="H80" s="1" t="s">
        <v>5</v>
      </c>
    </row>
    <row r="81">
      <c r="A81" s="1" t="s">
        <v>8</v>
      </c>
      <c r="B81" s="1" t="s">
        <v>2715</v>
      </c>
      <c r="C81" s="1" t="s">
        <v>2908</v>
      </c>
      <c r="D81" s="1">
        <v>1.0</v>
      </c>
      <c r="E81" s="1">
        <v>-1.0</v>
      </c>
      <c r="F81" s="1" t="s">
        <v>2909</v>
      </c>
      <c r="G81" s="1" t="s">
        <v>2910</v>
      </c>
      <c r="H81" s="1" t="s">
        <v>5</v>
      </c>
    </row>
    <row r="82">
      <c r="A82" s="1" t="s">
        <v>8</v>
      </c>
      <c r="B82" s="1" t="s">
        <v>2715</v>
      </c>
      <c r="C82" s="1" t="s">
        <v>2911</v>
      </c>
      <c r="D82" s="1" t="s">
        <v>2912</v>
      </c>
      <c r="E82" s="1" t="s">
        <v>2913</v>
      </c>
      <c r="F82" s="1" t="s">
        <v>2914</v>
      </c>
      <c r="G82" s="1">
        <v>0.0</v>
      </c>
      <c r="H82" s="1" t="s">
        <v>3</v>
      </c>
    </row>
    <row r="83">
      <c r="A83" s="1" t="s">
        <v>8</v>
      </c>
      <c r="B83" s="1" t="s">
        <v>2715</v>
      </c>
      <c r="C83" s="1" t="s">
        <v>2915</v>
      </c>
      <c r="D83" s="1" t="s">
        <v>2916</v>
      </c>
      <c r="E83" s="1" t="s">
        <v>2917</v>
      </c>
      <c r="F83" s="1" t="s">
        <v>2918</v>
      </c>
      <c r="G83" s="1" t="s">
        <v>2919</v>
      </c>
      <c r="H83" s="1" t="s">
        <v>3</v>
      </c>
    </row>
    <row r="84">
      <c r="A84" s="1" t="s">
        <v>8</v>
      </c>
      <c r="B84" s="1" t="s">
        <v>2715</v>
      </c>
      <c r="C84" s="1" t="s">
        <v>2920</v>
      </c>
      <c r="D84" s="1">
        <v>1.0</v>
      </c>
      <c r="E84" s="1">
        <v>-1.0</v>
      </c>
      <c r="F84" s="1">
        <v>0.0</v>
      </c>
      <c r="G84" s="1">
        <v>2.0</v>
      </c>
      <c r="H84" s="1" t="s">
        <v>4</v>
      </c>
    </row>
    <row r="85">
      <c r="A85" s="1" t="s">
        <v>8</v>
      </c>
      <c r="B85" s="1" t="s">
        <v>2715</v>
      </c>
      <c r="C85" s="1" t="s">
        <v>2921</v>
      </c>
      <c r="D85" s="1">
        <v>1.0</v>
      </c>
      <c r="E85" s="1">
        <v>-1.0</v>
      </c>
      <c r="F85" s="1">
        <v>0.0</v>
      </c>
      <c r="G85" s="1" t="s">
        <v>2741</v>
      </c>
      <c r="H85" s="1" t="s">
        <v>5</v>
      </c>
    </row>
    <row r="86">
      <c r="A86" s="1" t="s">
        <v>8</v>
      </c>
      <c r="B86" s="1" t="s">
        <v>2715</v>
      </c>
      <c r="C86" s="1" t="s">
        <v>2922</v>
      </c>
      <c r="D86" s="1" t="s">
        <v>1993</v>
      </c>
      <c r="E86" s="1" t="s">
        <v>2923</v>
      </c>
      <c r="F86" s="1" t="s">
        <v>2924</v>
      </c>
      <c r="G86" s="1" t="s">
        <v>2772</v>
      </c>
      <c r="H86" s="1" t="s">
        <v>4</v>
      </c>
    </row>
    <row r="87">
      <c r="A87" s="1" t="s">
        <v>8</v>
      </c>
      <c r="B87" s="1" t="s">
        <v>2715</v>
      </c>
      <c r="C87" s="1" t="s">
        <v>2925</v>
      </c>
      <c r="D87" s="1">
        <v>0.0</v>
      </c>
      <c r="E87" s="1">
        <v>1.0</v>
      </c>
      <c r="F87" s="1">
        <v>2.0</v>
      </c>
      <c r="G87" s="1">
        <v>3.0</v>
      </c>
      <c r="H87" s="1" t="s">
        <v>4</v>
      </c>
    </row>
    <row r="88">
      <c r="A88" s="1" t="s">
        <v>8</v>
      </c>
      <c r="B88" s="1" t="s">
        <v>2774</v>
      </c>
      <c r="C88" s="1" t="s">
        <v>2926</v>
      </c>
      <c r="D88" s="1" t="s">
        <v>1909</v>
      </c>
      <c r="E88" s="1" t="s">
        <v>1910</v>
      </c>
      <c r="F88" s="1" t="s">
        <v>1911</v>
      </c>
      <c r="G88" s="1" t="s">
        <v>1912</v>
      </c>
      <c r="H88" s="1" t="s">
        <v>4</v>
      </c>
    </row>
    <row r="89">
      <c r="A89" s="1" t="s">
        <v>8</v>
      </c>
      <c r="B89" s="1" t="s">
        <v>2774</v>
      </c>
      <c r="C89" s="1" t="s">
        <v>2927</v>
      </c>
      <c r="D89" s="1" t="s">
        <v>1911</v>
      </c>
      <c r="E89" s="1" t="s">
        <v>1910</v>
      </c>
      <c r="F89" s="1" t="s">
        <v>1909</v>
      </c>
      <c r="G89" s="1" t="s">
        <v>2840</v>
      </c>
      <c r="H89" s="1" t="s">
        <v>3</v>
      </c>
    </row>
    <row r="90">
      <c r="A90" s="1" t="s">
        <v>8</v>
      </c>
      <c r="B90" s="1" t="s">
        <v>2774</v>
      </c>
      <c r="C90" s="1" t="s">
        <v>2928</v>
      </c>
      <c r="D90" s="1" t="s">
        <v>2929</v>
      </c>
      <c r="E90" s="1" t="s">
        <v>2930</v>
      </c>
      <c r="F90" s="1" t="s">
        <v>2931</v>
      </c>
      <c r="G90" s="1" t="s">
        <v>1682</v>
      </c>
      <c r="H90" s="1" t="s">
        <v>3</v>
      </c>
    </row>
    <row r="91">
      <c r="A91" s="1" t="s">
        <v>8</v>
      </c>
      <c r="B91" s="1" t="s">
        <v>2774</v>
      </c>
      <c r="C91" s="1" t="s">
        <v>2932</v>
      </c>
      <c r="D91" s="1" t="s">
        <v>2777</v>
      </c>
      <c r="E91" s="1" t="s">
        <v>2782</v>
      </c>
      <c r="F91" s="1" t="s">
        <v>2780</v>
      </c>
      <c r="G91" s="1" t="s">
        <v>2933</v>
      </c>
      <c r="H91" s="1" t="s">
        <v>4</v>
      </c>
    </row>
    <row r="92">
      <c r="A92" s="1" t="s">
        <v>8</v>
      </c>
      <c r="B92" s="1" t="s">
        <v>2774</v>
      </c>
      <c r="C92" s="1" t="s">
        <v>2934</v>
      </c>
      <c r="D92" s="1" t="s">
        <v>2935</v>
      </c>
      <c r="E92" s="1" t="s">
        <v>2936</v>
      </c>
      <c r="F92" s="1" t="s">
        <v>2937</v>
      </c>
      <c r="G92" s="1" t="s">
        <v>2938</v>
      </c>
      <c r="H92" s="1" t="s">
        <v>3</v>
      </c>
    </row>
    <row r="93">
      <c r="A93" s="1" t="s">
        <v>8</v>
      </c>
      <c r="B93" s="1" t="s">
        <v>2774</v>
      </c>
      <c r="C93" s="1" t="s">
        <v>2939</v>
      </c>
      <c r="D93" s="1" t="s">
        <v>1909</v>
      </c>
      <c r="E93" s="1" t="s">
        <v>1910</v>
      </c>
      <c r="F93" s="1" t="s">
        <v>1911</v>
      </c>
      <c r="G93" s="1" t="s">
        <v>1912</v>
      </c>
      <c r="H93" s="1" t="s">
        <v>5</v>
      </c>
    </row>
    <row r="94">
      <c r="A94" s="1" t="s">
        <v>8</v>
      </c>
      <c r="B94" s="1" t="s">
        <v>2774</v>
      </c>
      <c r="C94" s="1" t="s">
        <v>2940</v>
      </c>
      <c r="D94" s="1" t="s">
        <v>1909</v>
      </c>
      <c r="E94" s="1" t="s">
        <v>1910</v>
      </c>
      <c r="F94" s="1" t="s">
        <v>1911</v>
      </c>
      <c r="G94" s="1" t="s">
        <v>1912</v>
      </c>
      <c r="H94" s="1" t="s">
        <v>3</v>
      </c>
    </row>
    <row r="95">
      <c r="A95" s="1" t="s">
        <v>8</v>
      </c>
      <c r="B95" s="1" t="s">
        <v>2774</v>
      </c>
      <c r="C95" s="1" t="s">
        <v>2941</v>
      </c>
      <c r="D95" s="1" t="s">
        <v>2942</v>
      </c>
      <c r="E95" s="1" t="s">
        <v>2943</v>
      </c>
      <c r="F95" s="1" t="s">
        <v>2944</v>
      </c>
      <c r="G95" s="1" t="s">
        <v>2778</v>
      </c>
      <c r="H95" s="1" t="s">
        <v>4</v>
      </c>
    </row>
    <row r="96">
      <c r="A96" s="1" t="s">
        <v>8</v>
      </c>
      <c r="B96" s="1" t="s">
        <v>2774</v>
      </c>
      <c r="C96" s="1" t="s">
        <v>2945</v>
      </c>
      <c r="D96" s="1" t="s">
        <v>2893</v>
      </c>
      <c r="E96" s="1" t="s">
        <v>2728</v>
      </c>
      <c r="F96" s="1" t="s">
        <v>2730</v>
      </c>
      <c r="G96" s="1" t="s">
        <v>2884</v>
      </c>
      <c r="H96" s="1" t="s">
        <v>3</v>
      </c>
    </row>
    <row r="97">
      <c r="A97" s="1" t="s">
        <v>8</v>
      </c>
      <c r="B97" s="1" t="s">
        <v>2774</v>
      </c>
      <c r="C97" s="1" t="s">
        <v>2946</v>
      </c>
      <c r="D97" s="1" t="s">
        <v>2947</v>
      </c>
      <c r="E97" s="1" t="s">
        <v>2948</v>
      </c>
      <c r="F97" s="1" t="s">
        <v>2947</v>
      </c>
      <c r="G97" s="1" t="s">
        <v>2949</v>
      </c>
      <c r="H97" s="1" t="s">
        <v>3</v>
      </c>
    </row>
    <row r="98">
      <c r="A98" s="1" t="s">
        <v>8</v>
      </c>
      <c r="B98" s="1" t="s">
        <v>2774</v>
      </c>
      <c r="C98" s="1" t="s">
        <v>2950</v>
      </c>
      <c r="D98" s="1" t="s">
        <v>2929</v>
      </c>
      <c r="E98" s="1" t="s">
        <v>2951</v>
      </c>
      <c r="F98" s="1" t="s">
        <v>2931</v>
      </c>
      <c r="G98" s="1" t="s">
        <v>1682</v>
      </c>
      <c r="H98" s="1" t="s">
        <v>3</v>
      </c>
    </row>
    <row r="99">
      <c r="A99" s="1" t="s">
        <v>8</v>
      </c>
      <c r="B99" s="1" t="s">
        <v>2774</v>
      </c>
      <c r="C99" s="1" t="s">
        <v>2952</v>
      </c>
      <c r="D99" s="1" t="s">
        <v>2953</v>
      </c>
      <c r="E99" s="1" t="s">
        <v>2954</v>
      </c>
      <c r="F99" s="1" t="s">
        <v>2955</v>
      </c>
      <c r="G99" s="1" t="s">
        <v>22</v>
      </c>
      <c r="H99" s="1" t="s">
        <v>4</v>
      </c>
    </row>
    <row r="100">
      <c r="A100" s="1" t="s">
        <v>8</v>
      </c>
      <c r="B100" s="1" t="s">
        <v>2774</v>
      </c>
      <c r="C100" s="1" t="s">
        <v>2956</v>
      </c>
      <c r="D100" s="1" t="s">
        <v>2957</v>
      </c>
      <c r="E100" s="1" t="s">
        <v>2958</v>
      </c>
      <c r="F100" s="1" t="s">
        <v>2959</v>
      </c>
      <c r="G100" s="1" t="s">
        <v>2960</v>
      </c>
      <c r="H100" s="1" t="s">
        <v>4</v>
      </c>
    </row>
    <row r="101">
      <c r="A101" s="1" t="s">
        <v>8</v>
      </c>
      <c r="B101" s="1" t="s">
        <v>2715</v>
      </c>
      <c r="C101" s="1" t="s">
        <v>2961</v>
      </c>
      <c r="D101" s="1">
        <v>1.0</v>
      </c>
      <c r="E101" s="1">
        <v>0.0</v>
      </c>
      <c r="F101" s="1">
        <v>-1.0</v>
      </c>
      <c r="G101" s="1">
        <v>2.0</v>
      </c>
      <c r="H101" s="1" t="s">
        <v>3</v>
      </c>
    </row>
    <row r="102">
      <c r="A102" s="1" t="s">
        <v>8</v>
      </c>
      <c r="B102" s="1" t="s">
        <v>2715</v>
      </c>
      <c r="C102" s="1" t="s">
        <v>2962</v>
      </c>
      <c r="D102" s="1" t="s">
        <v>2871</v>
      </c>
      <c r="E102" s="1" t="s">
        <v>1910</v>
      </c>
      <c r="F102" s="1" t="s">
        <v>1911</v>
      </c>
      <c r="G102" s="1" t="s">
        <v>1912</v>
      </c>
      <c r="H102" s="1" t="s">
        <v>3</v>
      </c>
    </row>
    <row r="103">
      <c r="A103" s="1" t="s">
        <v>8</v>
      </c>
      <c r="B103" s="1" t="s">
        <v>2715</v>
      </c>
      <c r="C103" s="1" t="s">
        <v>2963</v>
      </c>
      <c r="D103" s="1" t="s">
        <v>2828</v>
      </c>
      <c r="E103" s="1" t="s">
        <v>2846</v>
      </c>
      <c r="F103" s="1">
        <v>1.0</v>
      </c>
      <c r="G103" s="1">
        <v>0.0</v>
      </c>
      <c r="H103" s="1" t="s">
        <v>5</v>
      </c>
    </row>
    <row r="104">
      <c r="A104" s="1" t="s">
        <v>8</v>
      </c>
      <c r="B104" s="1" t="s">
        <v>2715</v>
      </c>
      <c r="C104" s="1" t="s">
        <v>2964</v>
      </c>
      <c r="D104" s="1" t="s">
        <v>2965</v>
      </c>
      <c r="E104" s="1" t="s">
        <v>2966</v>
      </c>
      <c r="F104" s="1">
        <v>0.0</v>
      </c>
      <c r="G104" s="1">
        <v>1.0</v>
      </c>
      <c r="H104" s="1" t="s">
        <v>5</v>
      </c>
    </row>
    <row r="105">
      <c r="A105" s="1" t="s">
        <v>8</v>
      </c>
      <c r="B105" s="1" t="s">
        <v>2715</v>
      </c>
      <c r="C105" s="1" t="s">
        <v>2967</v>
      </c>
      <c r="D105" s="1" t="s">
        <v>2968</v>
      </c>
      <c r="E105" s="1" t="s">
        <v>29</v>
      </c>
      <c r="F105" s="1" t="s">
        <v>2969</v>
      </c>
      <c r="G105" s="1" t="s">
        <v>1902</v>
      </c>
      <c r="H105" s="1" t="s">
        <v>3</v>
      </c>
    </row>
    <row r="106">
      <c r="A106" s="1" t="s">
        <v>8</v>
      </c>
      <c r="B106" s="1" t="s">
        <v>2715</v>
      </c>
      <c r="C106" s="1" t="s">
        <v>2970</v>
      </c>
      <c r="D106" s="1">
        <v>0.0</v>
      </c>
      <c r="E106" s="1">
        <v>1.0</v>
      </c>
      <c r="F106" s="1">
        <v>-1.0</v>
      </c>
      <c r="G106" s="1" t="s">
        <v>2971</v>
      </c>
      <c r="H106" s="1" t="s">
        <v>3</v>
      </c>
    </row>
    <row r="107">
      <c r="A107" s="1" t="s">
        <v>8</v>
      </c>
      <c r="B107" s="1" t="s">
        <v>2715</v>
      </c>
      <c r="C107" s="1" t="s">
        <v>2972</v>
      </c>
      <c r="D107" s="1">
        <v>0.0</v>
      </c>
      <c r="E107" s="1" t="s">
        <v>2820</v>
      </c>
      <c r="F107" s="1" t="s">
        <v>2875</v>
      </c>
      <c r="G107" s="1" t="s">
        <v>2973</v>
      </c>
      <c r="H107" s="1" t="s">
        <v>5</v>
      </c>
    </row>
    <row r="108">
      <c r="A108" s="1" t="s">
        <v>8</v>
      </c>
      <c r="B108" s="1" t="s">
        <v>2715</v>
      </c>
      <c r="C108" s="1" t="s">
        <v>2974</v>
      </c>
      <c r="D108" s="1" t="s">
        <v>2975</v>
      </c>
      <c r="E108" s="1" t="s">
        <v>2976</v>
      </c>
      <c r="F108" s="1" t="s">
        <v>2977</v>
      </c>
      <c r="G108" s="1" t="s">
        <v>2978</v>
      </c>
      <c r="H108" s="1" t="s">
        <v>3</v>
      </c>
    </row>
    <row r="109">
      <c r="A109" s="1" t="s">
        <v>8</v>
      </c>
      <c r="B109" s="1" t="s">
        <v>2715</v>
      </c>
      <c r="C109" s="1" t="s">
        <v>2979</v>
      </c>
      <c r="D109" s="1" t="s">
        <v>2980</v>
      </c>
      <c r="E109" s="1" t="s">
        <v>2981</v>
      </c>
      <c r="F109" s="1" t="s">
        <v>2982</v>
      </c>
      <c r="G109" s="1" t="s">
        <v>2983</v>
      </c>
      <c r="H109" s="1" t="s">
        <v>4</v>
      </c>
    </row>
    <row r="110">
      <c r="A110" s="1" t="s">
        <v>8</v>
      </c>
      <c r="B110" s="1" t="s">
        <v>2715</v>
      </c>
      <c r="C110" s="1" t="s">
        <v>2984</v>
      </c>
      <c r="D110" s="1" t="s">
        <v>2985</v>
      </c>
      <c r="E110" s="1" t="s">
        <v>2986</v>
      </c>
      <c r="F110" s="1" t="s">
        <v>2981</v>
      </c>
      <c r="G110" s="1" t="s">
        <v>2987</v>
      </c>
      <c r="H110" s="1" t="s">
        <v>3</v>
      </c>
    </row>
    <row r="111">
      <c r="A111" s="1" t="s">
        <v>8</v>
      </c>
      <c r="B111" s="1" t="s">
        <v>2715</v>
      </c>
      <c r="C111" s="1" t="s">
        <v>2988</v>
      </c>
      <c r="D111" s="1" t="s">
        <v>2981</v>
      </c>
      <c r="E111" s="1" t="s">
        <v>2980</v>
      </c>
      <c r="F111" s="1" t="s">
        <v>2989</v>
      </c>
      <c r="G111" s="1" t="s">
        <v>2990</v>
      </c>
      <c r="H111" s="1" t="s">
        <v>4</v>
      </c>
    </row>
    <row r="112">
      <c r="A112" s="1" t="s">
        <v>8</v>
      </c>
      <c r="B112" s="1" t="s">
        <v>2715</v>
      </c>
      <c r="C112" s="1" t="s">
        <v>2991</v>
      </c>
      <c r="D112" s="1" t="s">
        <v>2992</v>
      </c>
      <c r="E112" s="1" t="s">
        <v>2993</v>
      </c>
      <c r="F112" s="1" t="s">
        <v>2768</v>
      </c>
      <c r="G112" s="1" t="s">
        <v>2767</v>
      </c>
      <c r="H112" s="1" t="s">
        <v>4</v>
      </c>
    </row>
    <row r="113">
      <c r="A113" s="1" t="s">
        <v>8</v>
      </c>
      <c r="B113" s="1" t="s">
        <v>2715</v>
      </c>
      <c r="C113" s="1" t="s">
        <v>2994</v>
      </c>
      <c r="D113" s="1">
        <v>1.0</v>
      </c>
      <c r="E113" s="1">
        <v>0.0</v>
      </c>
      <c r="F113" s="1" t="s">
        <v>2741</v>
      </c>
      <c r="G113" s="1">
        <v>-1.0</v>
      </c>
      <c r="H113" s="1" t="s">
        <v>3</v>
      </c>
    </row>
    <row r="114">
      <c r="A114" s="1" t="s">
        <v>8</v>
      </c>
      <c r="B114" s="1" t="s">
        <v>2715</v>
      </c>
      <c r="C114" s="1" t="s">
        <v>2995</v>
      </c>
      <c r="D114" s="1">
        <v>0.0</v>
      </c>
      <c r="E114" s="1">
        <v>1.0</v>
      </c>
      <c r="F114" s="1" t="s">
        <v>2814</v>
      </c>
      <c r="G114" s="1" t="s">
        <v>2996</v>
      </c>
      <c r="H114" s="1" t="s">
        <v>4</v>
      </c>
    </row>
    <row r="115">
      <c r="A115" s="1" t="s">
        <v>8</v>
      </c>
      <c r="B115" s="1" t="s">
        <v>2715</v>
      </c>
      <c r="C115" s="1" t="s">
        <v>2997</v>
      </c>
      <c r="D115" s="1" t="s">
        <v>2741</v>
      </c>
      <c r="E115" s="1" t="s">
        <v>225</v>
      </c>
      <c r="F115" s="1" t="s">
        <v>16</v>
      </c>
      <c r="G115" s="1" t="s">
        <v>2998</v>
      </c>
      <c r="H115" s="1" t="s">
        <v>4</v>
      </c>
    </row>
    <row r="116">
      <c r="A116" s="1" t="s">
        <v>8</v>
      </c>
      <c r="B116" s="1" t="s">
        <v>2715</v>
      </c>
      <c r="C116" s="1" t="s">
        <v>2999</v>
      </c>
      <c r="D116" s="1" t="s">
        <v>2717</v>
      </c>
      <c r="E116" s="1" t="s">
        <v>15</v>
      </c>
      <c r="F116" s="1">
        <v>1.0</v>
      </c>
      <c r="G116" s="1">
        <v>0.0</v>
      </c>
      <c r="H116" s="1" t="s">
        <v>3</v>
      </c>
    </row>
    <row r="117">
      <c r="A117" s="1" t="s">
        <v>8</v>
      </c>
      <c r="B117" s="1" t="s">
        <v>2715</v>
      </c>
      <c r="C117" s="1" t="s">
        <v>3000</v>
      </c>
      <c r="D117" s="1" t="s">
        <v>2826</v>
      </c>
      <c r="E117" s="1" t="s">
        <v>2828</v>
      </c>
      <c r="F117" s="1" t="s">
        <v>2845</v>
      </c>
      <c r="G117" s="1" t="s">
        <v>2846</v>
      </c>
      <c r="H117" s="1" t="s">
        <v>6</v>
      </c>
    </row>
    <row r="118">
      <c r="A118" s="1" t="s">
        <v>8</v>
      </c>
      <c r="B118" s="1" t="s">
        <v>2715</v>
      </c>
      <c r="C118" s="1" t="s">
        <v>3001</v>
      </c>
      <c r="D118" s="1" t="s">
        <v>2747</v>
      </c>
      <c r="E118" s="1">
        <v>-1.0</v>
      </c>
      <c r="F118" s="1" t="s">
        <v>2748</v>
      </c>
      <c r="G118" s="1" t="s">
        <v>2749</v>
      </c>
      <c r="H118" s="1" t="s">
        <v>6</v>
      </c>
    </row>
    <row r="119">
      <c r="A119" s="1" t="s">
        <v>8</v>
      </c>
      <c r="B119" s="1" t="s">
        <v>2715</v>
      </c>
      <c r="C119" s="1" t="s">
        <v>3002</v>
      </c>
      <c r="D119" s="1" t="s">
        <v>3003</v>
      </c>
      <c r="E119" s="1" t="s">
        <v>3004</v>
      </c>
      <c r="F119" s="1" t="s">
        <v>3005</v>
      </c>
      <c r="G119" s="1">
        <v>0.0</v>
      </c>
      <c r="H119" s="1" t="s">
        <v>4</v>
      </c>
    </row>
    <row r="120">
      <c r="A120" s="1" t="s">
        <v>8</v>
      </c>
      <c r="B120" s="1" t="s">
        <v>2715</v>
      </c>
      <c r="C120" s="1" t="s">
        <v>3006</v>
      </c>
      <c r="D120" s="1" t="s">
        <v>252</v>
      </c>
      <c r="E120" s="1" t="s">
        <v>3007</v>
      </c>
      <c r="F120" s="1" t="s">
        <v>3008</v>
      </c>
      <c r="G120" s="1" t="s">
        <v>3009</v>
      </c>
      <c r="H120" s="1" t="s">
        <v>4</v>
      </c>
    </row>
    <row r="121">
      <c r="A121" s="1" t="s">
        <v>8</v>
      </c>
      <c r="B121" s="1" t="s">
        <v>2715</v>
      </c>
      <c r="C121" s="1" t="s">
        <v>3010</v>
      </c>
      <c r="D121" s="1" t="s">
        <v>3011</v>
      </c>
      <c r="E121" s="1" t="s">
        <v>3012</v>
      </c>
      <c r="F121" s="1" t="s">
        <v>3013</v>
      </c>
      <c r="G121" s="1" t="s">
        <v>3014</v>
      </c>
      <c r="H121" s="1" t="s">
        <v>4</v>
      </c>
    </row>
    <row r="122">
      <c r="A122" s="1" t="s">
        <v>8</v>
      </c>
      <c r="B122" s="1" t="s">
        <v>2715</v>
      </c>
      <c r="C122" s="1" t="s">
        <v>3015</v>
      </c>
      <c r="D122" s="1">
        <v>0.0</v>
      </c>
      <c r="E122" s="1">
        <v>1.0</v>
      </c>
      <c r="F122" s="1">
        <v>2.0</v>
      </c>
      <c r="G122" s="1">
        <v>-1.0</v>
      </c>
      <c r="H122" s="1" t="s">
        <v>4</v>
      </c>
    </row>
    <row r="123">
      <c r="A123" s="1" t="s">
        <v>8</v>
      </c>
      <c r="B123" s="1" t="s">
        <v>2715</v>
      </c>
      <c r="C123" s="1" t="s">
        <v>3016</v>
      </c>
      <c r="D123" s="1" t="s">
        <v>3017</v>
      </c>
      <c r="E123" s="1" t="s">
        <v>1993</v>
      </c>
      <c r="F123" s="1" t="s">
        <v>1909</v>
      </c>
      <c r="G123" s="1" t="s">
        <v>2840</v>
      </c>
      <c r="H123" s="1" t="s">
        <v>4</v>
      </c>
    </row>
    <row r="124">
      <c r="A124" s="1" t="s">
        <v>8</v>
      </c>
      <c r="B124" s="1" t="s">
        <v>2715</v>
      </c>
      <c r="C124" s="1" t="s">
        <v>3018</v>
      </c>
      <c r="D124" s="1" t="s">
        <v>3019</v>
      </c>
      <c r="E124" s="1" t="s">
        <v>3020</v>
      </c>
      <c r="F124" s="1" t="s">
        <v>3021</v>
      </c>
      <c r="G124" s="1" t="s">
        <v>3022</v>
      </c>
      <c r="H124" s="1" t="s">
        <v>4</v>
      </c>
    </row>
    <row r="125">
      <c r="A125" s="1" t="s">
        <v>8</v>
      </c>
      <c r="B125" s="1" t="s">
        <v>2715</v>
      </c>
      <c r="C125" s="1" t="s">
        <v>3023</v>
      </c>
      <c r="D125" s="1">
        <v>1.0</v>
      </c>
      <c r="E125" s="1">
        <v>-1.0</v>
      </c>
      <c r="F125" s="1">
        <v>0.0</v>
      </c>
      <c r="G125" s="1" t="s">
        <v>2741</v>
      </c>
      <c r="H125" s="1" t="s">
        <v>5</v>
      </c>
    </row>
    <row r="126">
      <c r="A126" s="1" t="s">
        <v>8</v>
      </c>
      <c r="B126" s="1" t="s">
        <v>2715</v>
      </c>
      <c r="C126" s="1" t="s">
        <v>3024</v>
      </c>
      <c r="D126" s="1" t="s">
        <v>3025</v>
      </c>
      <c r="E126" s="1" t="s">
        <v>3026</v>
      </c>
      <c r="F126" s="1" t="s">
        <v>3027</v>
      </c>
      <c r="G126" s="1" t="s">
        <v>3028</v>
      </c>
      <c r="H126" s="1" t="s">
        <v>4</v>
      </c>
    </row>
    <row r="127">
      <c r="A127" s="1" t="s">
        <v>8</v>
      </c>
      <c r="B127" s="1" t="s">
        <v>2715</v>
      </c>
      <c r="C127" s="1" t="s">
        <v>3029</v>
      </c>
      <c r="D127" s="1">
        <v>0.0</v>
      </c>
      <c r="E127" s="1">
        <v>1.0</v>
      </c>
      <c r="F127" s="1">
        <v>2.0</v>
      </c>
      <c r="G127" s="1">
        <v>-1.0</v>
      </c>
      <c r="H127" s="1" t="s">
        <v>5</v>
      </c>
    </row>
    <row r="128">
      <c r="A128" s="1" t="s">
        <v>8</v>
      </c>
      <c r="B128" s="1" t="s">
        <v>2715</v>
      </c>
      <c r="C128" s="1" t="s">
        <v>3030</v>
      </c>
      <c r="D128" s="1" t="s">
        <v>1909</v>
      </c>
      <c r="E128" s="1" t="s">
        <v>1910</v>
      </c>
      <c r="F128" s="1" t="s">
        <v>1911</v>
      </c>
      <c r="G128" s="1" t="s">
        <v>1912</v>
      </c>
      <c r="H128" s="1" t="s">
        <v>4</v>
      </c>
    </row>
    <row r="129">
      <c r="A129" s="1" t="s">
        <v>8</v>
      </c>
      <c r="B129" s="1" t="s">
        <v>2715</v>
      </c>
      <c r="C129" s="1" t="s">
        <v>3031</v>
      </c>
      <c r="D129" s="1">
        <v>1.0</v>
      </c>
      <c r="E129" s="1">
        <v>-1.0</v>
      </c>
      <c r="F129" s="1">
        <v>0.0</v>
      </c>
      <c r="G129" s="1">
        <v>2.0</v>
      </c>
      <c r="H129" s="1" t="s">
        <v>3</v>
      </c>
    </row>
    <row r="130">
      <c r="A130" s="1" t="s">
        <v>8</v>
      </c>
      <c r="B130" s="1" t="s">
        <v>2715</v>
      </c>
      <c r="C130" s="1" t="s">
        <v>3032</v>
      </c>
      <c r="D130" s="1" t="s">
        <v>3033</v>
      </c>
      <c r="E130" s="1" t="s">
        <v>3034</v>
      </c>
      <c r="F130" s="1" t="s">
        <v>3035</v>
      </c>
      <c r="G130" s="1" t="s">
        <v>3036</v>
      </c>
      <c r="H130" s="1" t="s">
        <v>4</v>
      </c>
    </row>
    <row r="131">
      <c r="A131" s="1" t="s">
        <v>8</v>
      </c>
      <c r="B131" s="1" t="s">
        <v>2715</v>
      </c>
      <c r="C131" s="1" t="s">
        <v>3037</v>
      </c>
      <c r="D131" s="1" t="s">
        <v>1911</v>
      </c>
      <c r="E131" s="1" t="s">
        <v>1945</v>
      </c>
      <c r="F131" s="1" t="s">
        <v>1948</v>
      </c>
      <c r="G131" s="1" t="s">
        <v>1912</v>
      </c>
      <c r="H131" s="1" t="s">
        <v>5</v>
      </c>
    </row>
    <row r="132">
      <c r="A132" s="1" t="s">
        <v>8</v>
      </c>
      <c r="B132" s="1" t="s">
        <v>2715</v>
      </c>
      <c r="C132" s="1" t="s">
        <v>3038</v>
      </c>
      <c r="D132" s="1">
        <v>3.1416</v>
      </c>
      <c r="E132" s="1">
        <v>3.1428</v>
      </c>
      <c r="F132" s="2">
        <v>46225.0</v>
      </c>
      <c r="G132" s="1">
        <v>3.14</v>
      </c>
      <c r="H132" s="1" t="s">
        <v>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3039</v>
      </c>
      <c r="C2" s="1" t="s">
        <v>3040</v>
      </c>
      <c r="D2" s="1" t="s">
        <v>3041</v>
      </c>
      <c r="E2" s="1" t="s">
        <v>3042</v>
      </c>
      <c r="F2" s="1" t="s">
        <v>3043</v>
      </c>
      <c r="G2" s="1" t="s">
        <v>3044</v>
      </c>
      <c r="H2" s="1" t="s">
        <v>4</v>
      </c>
    </row>
    <row r="3">
      <c r="A3" s="1" t="s">
        <v>355</v>
      </c>
      <c r="B3" s="1" t="s">
        <v>3039</v>
      </c>
      <c r="C3" s="1" t="s">
        <v>3045</v>
      </c>
      <c r="D3" s="1" t="s">
        <v>3043</v>
      </c>
      <c r="E3" s="1" t="s">
        <v>3042</v>
      </c>
      <c r="F3" s="1" t="s">
        <v>3041</v>
      </c>
      <c r="G3" s="1" t="s">
        <v>3046</v>
      </c>
      <c r="H3" s="1" t="s">
        <v>3</v>
      </c>
    </row>
    <row r="4">
      <c r="A4" s="1" t="s">
        <v>355</v>
      </c>
      <c r="B4" s="1" t="s">
        <v>3039</v>
      </c>
      <c r="C4" s="1" t="s">
        <v>3047</v>
      </c>
      <c r="D4" s="1" t="s">
        <v>2776</v>
      </c>
      <c r="E4" s="1" t="s">
        <v>1680</v>
      </c>
      <c r="F4" s="1" t="s">
        <v>2777</v>
      </c>
      <c r="G4" s="1" t="s">
        <v>2778</v>
      </c>
      <c r="H4" s="1" t="s">
        <v>3</v>
      </c>
    </row>
    <row r="5">
      <c r="A5" s="1" t="s">
        <v>355</v>
      </c>
      <c r="B5" s="1" t="s">
        <v>3039</v>
      </c>
      <c r="C5" s="1" t="s">
        <v>3048</v>
      </c>
      <c r="D5" s="1" t="s">
        <v>3049</v>
      </c>
      <c r="E5" s="1" t="s">
        <v>3050</v>
      </c>
      <c r="F5" s="1" t="s">
        <v>3051</v>
      </c>
      <c r="G5" s="1" t="s">
        <v>3052</v>
      </c>
      <c r="H5" s="1" t="s">
        <v>5</v>
      </c>
    </row>
    <row r="6">
      <c r="A6" s="1" t="s">
        <v>355</v>
      </c>
      <c r="B6" s="1" t="s">
        <v>3039</v>
      </c>
      <c r="C6" s="1" t="s">
        <v>3053</v>
      </c>
      <c r="D6" s="1" t="s">
        <v>2958</v>
      </c>
      <c r="E6" s="1" t="s">
        <v>3054</v>
      </c>
      <c r="F6" s="1" t="s">
        <v>3055</v>
      </c>
      <c r="G6" s="1" t="s">
        <v>2776</v>
      </c>
      <c r="H6" s="1" t="s">
        <v>4</v>
      </c>
    </row>
    <row r="7">
      <c r="A7" s="1" t="s">
        <v>355</v>
      </c>
      <c r="B7" s="1" t="s">
        <v>3039</v>
      </c>
      <c r="C7" s="1" t="s">
        <v>3056</v>
      </c>
      <c r="D7" s="1" t="s">
        <v>1682</v>
      </c>
      <c r="E7" s="1" t="s">
        <v>3057</v>
      </c>
      <c r="F7" s="1" t="s">
        <v>3058</v>
      </c>
      <c r="G7" s="1" t="s">
        <v>1683</v>
      </c>
      <c r="H7" s="1" t="s">
        <v>5</v>
      </c>
    </row>
    <row r="8">
      <c r="A8" s="1" t="s">
        <v>355</v>
      </c>
      <c r="B8" s="1" t="s">
        <v>3039</v>
      </c>
      <c r="C8" s="1" t="s">
        <v>3059</v>
      </c>
      <c r="D8" s="1" t="s">
        <v>3060</v>
      </c>
      <c r="E8" s="1" t="s">
        <v>3061</v>
      </c>
      <c r="F8" s="1" t="s">
        <v>1919</v>
      </c>
      <c r="G8" s="1" t="s">
        <v>3062</v>
      </c>
      <c r="H8" s="1" t="s">
        <v>4</v>
      </c>
    </row>
    <row r="9">
      <c r="A9" s="1" t="s">
        <v>355</v>
      </c>
      <c r="B9" s="1" t="s">
        <v>3039</v>
      </c>
      <c r="C9" s="1" t="s">
        <v>3063</v>
      </c>
      <c r="D9" s="1" t="s">
        <v>3061</v>
      </c>
      <c r="E9" s="1" t="s">
        <v>3060</v>
      </c>
      <c r="F9" s="1" t="s">
        <v>3064</v>
      </c>
      <c r="G9" s="1" t="s">
        <v>22</v>
      </c>
      <c r="H9" s="1" t="s">
        <v>4</v>
      </c>
    </row>
    <row r="10">
      <c r="A10" s="1" t="s">
        <v>355</v>
      </c>
      <c r="B10" s="1" t="s">
        <v>3039</v>
      </c>
      <c r="C10" s="1" t="s">
        <v>3065</v>
      </c>
      <c r="D10" s="1" t="s">
        <v>3041</v>
      </c>
      <c r="E10" s="1" t="s">
        <v>3042</v>
      </c>
      <c r="F10" s="1" t="s">
        <v>3043</v>
      </c>
      <c r="G10" s="1" t="s">
        <v>3044</v>
      </c>
      <c r="H10" s="1" t="s">
        <v>5</v>
      </c>
    </row>
    <row r="11">
      <c r="A11" s="1" t="s">
        <v>355</v>
      </c>
      <c r="B11" s="1" t="s">
        <v>3039</v>
      </c>
      <c r="C11" s="1" t="s">
        <v>3066</v>
      </c>
      <c r="D11" s="1" t="s">
        <v>3067</v>
      </c>
      <c r="E11" s="1" t="s">
        <v>3068</v>
      </c>
      <c r="F11" s="1" t="s">
        <v>3069</v>
      </c>
      <c r="G11" s="1" t="s">
        <v>3070</v>
      </c>
      <c r="H11" s="1" t="s">
        <v>4</v>
      </c>
    </row>
    <row r="12">
      <c r="A12" s="1" t="s">
        <v>355</v>
      </c>
      <c r="B12" s="1" t="s">
        <v>3039</v>
      </c>
      <c r="C12" s="1" t="s">
        <v>3071</v>
      </c>
      <c r="D12" s="1" t="s">
        <v>3041</v>
      </c>
      <c r="E12" s="1" t="s">
        <v>3042</v>
      </c>
      <c r="F12" s="1" t="s">
        <v>3043</v>
      </c>
      <c r="G12" s="1" t="s">
        <v>3044</v>
      </c>
      <c r="H12" s="1" t="s">
        <v>4</v>
      </c>
    </row>
    <row r="13">
      <c r="A13" s="1" t="s">
        <v>355</v>
      </c>
      <c r="B13" s="1" t="s">
        <v>3039</v>
      </c>
      <c r="C13" s="1" t="s">
        <v>3072</v>
      </c>
      <c r="D13" s="1" t="s">
        <v>3041</v>
      </c>
      <c r="E13" s="1" t="s">
        <v>3042</v>
      </c>
      <c r="F13" s="1" t="s">
        <v>3043</v>
      </c>
      <c r="G13" s="1" t="s">
        <v>3073</v>
      </c>
      <c r="H13" s="1" t="s">
        <v>3</v>
      </c>
    </row>
    <row r="14">
      <c r="A14" s="1" t="s">
        <v>355</v>
      </c>
      <c r="B14" s="1" t="s">
        <v>3039</v>
      </c>
      <c r="C14" s="1" t="s">
        <v>3074</v>
      </c>
      <c r="D14" s="1" t="s">
        <v>2957</v>
      </c>
      <c r="E14" s="1" t="s">
        <v>2958</v>
      </c>
      <c r="F14" s="1" t="s">
        <v>2960</v>
      </c>
      <c r="G14" s="1" t="s">
        <v>2959</v>
      </c>
      <c r="H14" s="1" t="s">
        <v>4</v>
      </c>
    </row>
    <row r="15">
      <c r="A15" s="1" t="s">
        <v>355</v>
      </c>
      <c r="B15" s="1" t="s">
        <v>3039</v>
      </c>
      <c r="C15" s="1" t="s">
        <v>3075</v>
      </c>
      <c r="D15" s="1" t="s">
        <v>3076</v>
      </c>
      <c r="E15" s="1" t="s">
        <v>2931</v>
      </c>
      <c r="F15" s="1" t="s">
        <v>3077</v>
      </c>
      <c r="G15" s="1" t="s">
        <v>1682</v>
      </c>
      <c r="H15" s="1" t="s">
        <v>4</v>
      </c>
    </row>
    <row r="16">
      <c r="A16" s="1" t="s">
        <v>355</v>
      </c>
      <c r="B16" s="1" t="s">
        <v>3039</v>
      </c>
      <c r="C16" s="1" t="s">
        <v>3078</v>
      </c>
      <c r="D16" s="1" t="s">
        <v>3079</v>
      </c>
      <c r="E16" s="1" t="s">
        <v>2777</v>
      </c>
      <c r="F16" s="1" t="s">
        <v>3080</v>
      </c>
      <c r="G16" s="1" t="s">
        <v>3081</v>
      </c>
      <c r="H16" s="1" t="s">
        <v>5</v>
      </c>
    </row>
    <row r="17">
      <c r="A17" s="1" t="s">
        <v>355</v>
      </c>
      <c r="B17" s="1" t="s">
        <v>3039</v>
      </c>
      <c r="C17" s="1" t="s">
        <v>3082</v>
      </c>
      <c r="D17" s="1">
        <v>1.0</v>
      </c>
      <c r="E17" s="1" t="s">
        <v>3083</v>
      </c>
      <c r="F17" s="1" t="s">
        <v>3084</v>
      </c>
      <c r="G17" s="1">
        <v>2.0</v>
      </c>
      <c r="H17" s="1" t="s">
        <v>5</v>
      </c>
    </row>
    <row r="18">
      <c r="A18" s="1" t="s">
        <v>355</v>
      </c>
      <c r="B18" s="1" t="s">
        <v>3039</v>
      </c>
      <c r="C18" s="1" t="s">
        <v>3085</v>
      </c>
      <c r="D18" s="1">
        <v>1.0</v>
      </c>
      <c r="E18" s="2">
        <v>46054.0</v>
      </c>
      <c r="F18" s="1" t="s">
        <v>3086</v>
      </c>
      <c r="G18" s="1">
        <v>0.0</v>
      </c>
      <c r="H18" s="1" t="s">
        <v>4</v>
      </c>
    </row>
    <row r="19">
      <c r="A19" s="1" t="s">
        <v>355</v>
      </c>
      <c r="B19" s="1" t="s">
        <v>3039</v>
      </c>
      <c r="C19" s="1" t="s">
        <v>3087</v>
      </c>
      <c r="D19" s="1" t="s">
        <v>3088</v>
      </c>
      <c r="E19" s="1" t="s">
        <v>3080</v>
      </c>
      <c r="F19" s="1" t="s">
        <v>3089</v>
      </c>
      <c r="G19" s="1" t="s">
        <v>3090</v>
      </c>
      <c r="H19" s="1" t="s">
        <v>3</v>
      </c>
    </row>
    <row r="20">
      <c r="A20" s="1" t="s">
        <v>355</v>
      </c>
      <c r="B20" s="1" t="s">
        <v>3039</v>
      </c>
      <c r="C20" s="1" t="s">
        <v>3091</v>
      </c>
      <c r="D20" s="1" t="s">
        <v>3041</v>
      </c>
      <c r="E20" s="1" t="s">
        <v>3042</v>
      </c>
      <c r="F20" s="1" t="s">
        <v>3043</v>
      </c>
      <c r="G20" s="1" t="s">
        <v>3073</v>
      </c>
      <c r="H20" s="1" t="s">
        <v>5</v>
      </c>
    </row>
    <row r="21">
      <c r="A21" s="1" t="s">
        <v>355</v>
      </c>
      <c r="B21" s="1" t="s">
        <v>3039</v>
      </c>
      <c r="C21" s="1" t="s">
        <v>3092</v>
      </c>
      <c r="D21" s="1" t="s">
        <v>3093</v>
      </c>
      <c r="E21" s="1" t="s">
        <v>3094</v>
      </c>
      <c r="F21" s="1" t="s">
        <v>3095</v>
      </c>
      <c r="G21" s="1" t="s">
        <v>3096</v>
      </c>
      <c r="H21" s="1" t="s">
        <v>4</v>
      </c>
    </row>
    <row r="22">
      <c r="A22" s="1" t="s">
        <v>355</v>
      </c>
      <c r="B22" s="1" t="s">
        <v>3039</v>
      </c>
      <c r="C22" s="1" t="s">
        <v>3097</v>
      </c>
      <c r="D22" s="1" t="s">
        <v>2931</v>
      </c>
      <c r="E22" s="1" t="s">
        <v>3098</v>
      </c>
      <c r="F22" s="1" t="s">
        <v>3099</v>
      </c>
      <c r="G22" s="1" t="s">
        <v>3076</v>
      </c>
      <c r="H22" s="1" t="s">
        <v>4</v>
      </c>
    </row>
    <row r="23">
      <c r="A23" s="1" t="s">
        <v>355</v>
      </c>
      <c r="B23" s="1" t="s">
        <v>3039</v>
      </c>
      <c r="C23" s="1" t="s">
        <v>3100</v>
      </c>
      <c r="D23" s="1">
        <v>0.0</v>
      </c>
      <c r="E23" s="1" t="s">
        <v>3083</v>
      </c>
      <c r="F23" s="1">
        <v>1.0</v>
      </c>
      <c r="G23" s="1" t="s">
        <v>3084</v>
      </c>
      <c r="H23" s="1" t="s">
        <v>5</v>
      </c>
    </row>
    <row r="24">
      <c r="A24" s="1" t="s">
        <v>355</v>
      </c>
      <c r="B24" s="1" t="s">
        <v>3039</v>
      </c>
      <c r="C24" s="1" t="s">
        <v>3101</v>
      </c>
      <c r="D24" s="1" t="s">
        <v>3102</v>
      </c>
      <c r="E24" s="1" t="s">
        <v>3103</v>
      </c>
      <c r="F24" s="1" t="s">
        <v>3104</v>
      </c>
      <c r="G24" s="1" t="s">
        <v>3105</v>
      </c>
      <c r="H24" s="1" t="s">
        <v>4</v>
      </c>
    </row>
    <row r="25">
      <c r="A25" s="1" t="s">
        <v>355</v>
      </c>
      <c r="B25" s="1" t="s">
        <v>3039</v>
      </c>
      <c r="C25" s="1" t="s">
        <v>3106</v>
      </c>
      <c r="D25" s="1" t="s">
        <v>3077</v>
      </c>
      <c r="E25" s="1" t="s">
        <v>2931</v>
      </c>
      <c r="F25" s="1" t="s">
        <v>3076</v>
      </c>
      <c r="G25" s="1" t="s">
        <v>1682</v>
      </c>
      <c r="H25" s="1" t="s">
        <v>3</v>
      </c>
    </row>
    <row r="26">
      <c r="A26" s="1" t="s">
        <v>355</v>
      </c>
      <c r="B26" s="1" t="s">
        <v>3039</v>
      </c>
      <c r="C26" s="1" t="s">
        <v>3107</v>
      </c>
      <c r="D26" s="1" t="s">
        <v>3054</v>
      </c>
      <c r="E26" s="1" t="s">
        <v>3080</v>
      </c>
      <c r="F26" s="1" t="s">
        <v>3108</v>
      </c>
      <c r="G26" s="1" t="s">
        <v>1680</v>
      </c>
      <c r="H26" s="1" t="s">
        <v>3</v>
      </c>
    </row>
    <row r="27">
      <c r="A27" s="1" t="s">
        <v>355</v>
      </c>
      <c r="B27" s="1" t="s">
        <v>3039</v>
      </c>
      <c r="C27" s="1" t="s">
        <v>3109</v>
      </c>
      <c r="D27" s="1" t="s">
        <v>3055</v>
      </c>
      <c r="E27" s="1" t="s">
        <v>3054</v>
      </c>
      <c r="F27" s="1" t="s">
        <v>3088</v>
      </c>
      <c r="G27" s="1" t="s">
        <v>1680</v>
      </c>
      <c r="H27" s="1" t="s">
        <v>3</v>
      </c>
    </row>
    <row r="28">
      <c r="A28" s="1" t="s">
        <v>355</v>
      </c>
      <c r="B28" s="1" t="s">
        <v>3039</v>
      </c>
      <c r="C28" s="1" t="s">
        <v>3110</v>
      </c>
      <c r="D28" s="1" t="s">
        <v>3043</v>
      </c>
      <c r="E28" s="1" t="s">
        <v>3042</v>
      </c>
      <c r="F28" s="1" t="s">
        <v>3041</v>
      </c>
      <c r="G28" s="1" t="s">
        <v>3044</v>
      </c>
      <c r="H28" s="1" t="s">
        <v>3</v>
      </c>
    </row>
    <row r="29">
      <c r="A29" s="1" t="s">
        <v>355</v>
      </c>
      <c r="B29" s="1" t="s">
        <v>3039</v>
      </c>
      <c r="C29" s="1" t="s">
        <v>3111</v>
      </c>
      <c r="D29" s="1" t="s">
        <v>3070</v>
      </c>
      <c r="E29" s="1" t="s">
        <v>3112</v>
      </c>
      <c r="F29" s="1" t="s">
        <v>3113</v>
      </c>
      <c r="G29" s="1" t="s">
        <v>2777</v>
      </c>
      <c r="H29" s="1" t="s">
        <v>4</v>
      </c>
    </row>
    <row r="30">
      <c r="A30" s="1" t="s">
        <v>355</v>
      </c>
      <c r="B30" s="1" t="s">
        <v>3039</v>
      </c>
      <c r="C30" s="1" t="s">
        <v>3114</v>
      </c>
      <c r="D30" s="1" t="s">
        <v>2777</v>
      </c>
      <c r="E30" s="1" t="s">
        <v>3108</v>
      </c>
      <c r="F30" s="1" t="s">
        <v>3115</v>
      </c>
      <c r="G30" s="1" t="s">
        <v>2958</v>
      </c>
      <c r="H30" s="1" t="s">
        <v>4</v>
      </c>
    </row>
    <row r="31">
      <c r="A31" s="1" t="s">
        <v>355</v>
      </c>
      <c r="B31" s="1" t="s">
        <v>3039</v>
      </c>
      <c r="C31" s="1" t="s">
        <v>3116</v>
      </c>
      <c r="D31" s="1" t="s">
        <v>3041</v>
      </c>
      <c r="E31" s="1" t="s">
        <v>3042</v>
      </c>
      <c r="F31" s="1" t="s">
        <v>3043</v>
      </c>
      <c r="G31" s="1" t="s">
        <v>3044</v>
      </c>
      <c r="H31" s="1" t="s">
        <v>5</v>
      </c>
    </row>
    <row r="32">
      <c r="A32" s="1" t="s">
        <v>355</v>
      </c>
      <c r="B32" s="1" t="s">
        <v>3039</v>
      </c>
      <c r="C32" s="1" t="s">
        <v>3117</v>
      </c>
      <c r="D32" s="1" t="s">
        <v>1680</v>
      </c>
      <c r="E32" s="1" t="s">
        <v>3055</v>
      </c>
      <c r="F32" s="1" t="s">
        <v>1681</v>
      </c>
      <c r="G32" s="1" t="s">
        <v>3088</v>
      </c>
      <c r="H32" s="1" t="s">
        <v>4</v>
      </c>
    </row>
    <row r="33">
      <c r="A33" s="1" t="s">
        <v>355</v>
      </c>
      <c r="B33" s="1" t="s">
        <v>3039</v>
      </c>
      <c r="C33" s="1" t="s">
        <v>3118</v>
      </c>
      <c r="D33" s="1" t="s">
        <v>3119</v>
      </c>
      <c r="E33" s="1" t="s">
        <v>3120</v>
      </c>
      <c r="F33" s="1" t="s">
        <v>3121</v>
      </c>
      <c r="G33" s="1" t="s">
        <v>22</v>
      </c>
      <c r="H33" s="1" t="s">
        <v>3</v>
      </c>
    </row>
    <row r="34">
      <c r="A34" s="1" t="s">
        <v>355</v>
      </c>
      <c r="B34" s="1" t="s">
        <v>3039</v>
      </c>
      <c r="C34" s="1" t="s">
        <v>3122</v>
      </c>
      <c r="D34" s="1" t="s">
        <v>3083</v>
      </c>
      <c r="E34" s="1" t="s">
        <v>3084</v>
      </c>
      <c r="F34" s="1">
        <v>1.0</v>
      </c>
      <c r="G34" s="1">
        <v>0.0</v>
      </c>
      <c r="H34" s="1" t="s">
        <v>5</v>
      </c>
    </row>
    <row r="35">
      <c r="A35" s="1" t="s">
        <v>355</v>
      </c>
      <c r="B35" s="1" t="s">
        <v>3039</v>
      </c>
      <c r="C35" s="1" t="s">
        <v>3123</v>
      </c>
      <c r="D35" s="1" t="s">
        <v>3124</v>
      </c>
      <c r="E35" s="1" t="s">
        <v>2778</v>
      </c>
      <c r="F35" s="1" t="s">
        <v>3125</v>
      </c>
      <c r="G35" s="1" t="s">
        <v>2944</v>
      </c>
      <c r="H35" s="1" t="s">
        <v>4</v>
      </c>
    </row>
    <row r="36">
      <c r="A36" s="1" t="s">
        <v>355</v>
      </c>
      <c r="B36" s="1" t="s">
        <v>3039</v>
      </c>
      <c r="C36" s="1" t="s">
        <v>3126</v>
      </c>
      <c r="D36" s="1" t="s">
        <v>3127</v>
      </c>
      <c r="E36" s="1" t="s">
        <v>3128</v>
      </c>
      <c r="F36" s="1" t="s">
        <v>3129</v>
      </c>
      <c r="G36" s="1" t="s">
        <v>3130</v>
      </c>
      <c r="H36" s="1" t="s">
        <v>4</v>
      </c>
    </row>
    <row r="37">
      <c r="A37" s="1" t="s">
        <v>355</v>
      </c>
      <c r="B37" s="1" t="s">
        <v>3039</v>
      </c>
      <c r="C37" s="1" t="s">
        <v>3131</v>
      </c>
      <c r="D37" s="1" t="s">
        <v>3132</v>
      </c>
      <c r="E37" s="1" t="s">
        <v>3133</v>
      </c>
      <c r="F37" s="1" t="s">
        <v>3134</v>
      </c>
      <c r="G37" s="1" t="s">
        <v>3113</v>
      </c>
      <c r="H37" s="1" t="s">
        <v>3</v>
      </c>
    </row>
    <row r="38">
      <c r="A38" s="1" t="s">
        <v>355</v>
      </c>
      <c r="B38" s="1" t="s">
        <v>3039</v>
      </c>
      <c r="C38" s="1" t="s">
        <v>3135</v>
      </c>
      <c r="D38" s="1" t="s">
        <v>2776</v>
      </c>
      <c r="E38" s="1" t="s">
        <v>3054</v>
      </c>
      <c r="F38" s="1" t="s">
        <v>1680</v>
      </c>
      <c r="G38" s="1" t="s">
        <v>3055</v>
      </c>
      <c r="H38" s="1" t="s">
        <v>4</v>
      </c>
    </row>
    <row r="39">
      <c r="A39" s="1" t="s">
        <v>355</v>
      </c>
      <c r="B39" s="1" t="s">
        <v>3039</v>
      </c>
      <c r="C39" s="1" t="s">
        <v>3136</v>
      </c>
      <c r="D39" s="1" t="s">
        <v>3137</v>
      </c>
      <c r="E39" s="1" t="s">
        <v>3138</v>
      </c>
      <c r="F39" s="1" t="s">
        <v>3139</v>
      </c>
      <c r="G39" s="1" t="s">
        <v>3140</v>
      </c>
      <c r="H39" s="1" t="s">
        <v>5</v>
      </c>
    </row>
    <row r="40">
      <c r="A40" s="1" t="s">
        <v>355</v>
      </c>
      <c r="B40" s="1" t="s">
        <v>3039</v>
      </c>
      <c r="C40" s="1" t="s">
        <v>3141</v>
      </c>
      <c r="D40" s="1" t="s">
        <v>2931</v>
      </c>
      <c r="E40" s="1" t="s">
        <v>3098</v>
      </c>
      <c r="F40" s="1" t="s">
        <v>3057</v>
      </c>
      <c r="G40" s="1" t="s">
        <v>3076</v>
      </c>
      <c r="H40" s="1" t="s">
        <v>4</v>
      </c>
    </row>
    <row r="41">
      <c r="A41" s="1" t="s">
        <v>355</v>
      </c>
      <c r="B41" s="1" t="s">
        <v>3039</v>
      </c>
      <c r="C41" s="1" t="s">
        <v>3142</v>
      </c>
      <c r="D41" s="1">
        <v>1.0</v>
      </c>
      <c r="E41" s="1">
        <v>2.0</v>
      </c>
      <c r="F41" s="1" t="s">
        <v>3143</v>
      </c>
      <c r="G41" s="1" t="s">
        <v>3144</v>
      </c>
      <c r="H41" s="1" t="s">
        <v>4</v>
      </c>
    </row>
    <row r="42">
      <c r="A42" s="1" t="s">
        <v>355</v>
      </c>
      <c r="B42" s="1" t="s">
        <v>3039</v>
      </c>
      <c r="C42" s="1" t="s">
        <v>3145</v>
      </c>
      <c r="D42" s="2">
        <v>46054.0</v>
      </c>
      <c r="E42" s="1" t="s">
        <v>3086</v>
      </c>
      <c r="F42" s="1" t="s">
        <v>3146</v>
      </c>
      <c r="G42" s="1">
        <v>1.0</v>
      </c>
      <c r="H42" s="1" t="s">
        <v>3</v>
      </c>
    </row>
    <row r="43">
      <c r="A43" s="1" t="s">
        <v>355</v>
      </c>
      <c r="B43" s="1" t="s">
        <v>3039</v>
      </c>
      <c r="C43" s="1" t="s">
        <v>3147</v>
      </c>
      <c r="D43" s="1" t="s">
        <v>3148</v>
      </c>
      <c r="E43" s="1" t="s">
        <v>3149</v>
      </c>
      <c r="F43" s="1" t="s">
        <v>3150</v>
      </c>
      <c r="G43" s="1" t="s">
        <v>22</v>
      </c>
      <c r="H43" s="1" t="s">
        <v>4</v>
      </c>
    </row>
    <row r="44">
      <c r="A44" s="1" t="s">
        <v>355</v>
      </c>
      <c r="B44" s="1" t="s">
        <v>3039</v>
      </c>
      <c r="C44" s="1" t="s">
        <v>3151</v>
      </c>
      <c r="D44" s="1" t="s">
        <v>2096</v>
      </c>
      <c r="E44" s="1" t="s">
        <v>3152</v>
      </c>
      <c r="F44" s="1" t="s">
        <v>2094</v>
      </c>
      <c r="G44" s="1" t="s">
        <v>2095</v>
      </c>
      <c r="H44" s="1" t="s">
        <v>3</v>
      </c>
    </row>
    <row r="45">
      <c r="A45" s="1" t="s">
        <v>355</v>
      </c>
      <c r="B45" s="1" t="s">
        <v>3039</v>
      </c>
      <c r="C45" s="1" t="s">
        <v>3153</v>
      </c>
      <c r="D45" s="1" t="s">
        <v>3041</v>
      </c>
      <c r="E45" s="1" t="s">
        <v>3042</v>
      </c>
      <c r="F45" s="1" t="s">
        <v>3043</v>
      </c>
      <c r="G45" s="1" t="s">
        <v>3044</v>
      </c>
      <c r="H45" s="1" t="s">
        <v>4</v>
      </c>
    </row>
    <row r="46">
      <c r="A46" s="1" t="s">
        <v>355</v>
      </c>
      <c r="B46" s="1" t="s">
        <v>3039</v>
      </c>
      <c r="C46" s="1" t="s">
        <v>3154</v>
      </c>
      <c r="D46" s="1" t="s">
        <v>1936</v>
      </c>
      <c r="E46" s="1" t="s">
        <v>1937</v>
      </c>
      <c r="F46" s="1" t="s">
        <v>1930</v>
      </c>
      <c r="G46" s="1" t="s">
        <v>1938</v>
      </c>
      <c r="H46" s="1" t="s">
        <v>5</v>
      </c>
    </row>
    <row r="47">
      <c r="A47" s="1" t="s">
        <v>355</v>
      </c>
      <c r="B47" s="1" t="s">
        <v>3039</v>
      </c>
      <c r="C47" s="1" t="s">
        <v>3155</v>
      </c>
      <c r="D47" s="1" t="s">
        <v>3060</v>
      </c>
      <c r="E47" s="1" t="s">
        <v>3061</v>
      </c>
      <c r="F47" s="1" t="s">
        <v>1919</v>
      </c>
      <c r="G47" s="1" t="s">
        <v>3064</v>
      </c>
      <c r="H47" s="1" t="s">
        <v>4</v>
      </c>
    </row>
    <row r="48">
      <c r="A48" s="1" t="s">
        <v>355</v>
      </c>
      <c r="B48" s="1" t="s">
        <v>3039</v>
      </c>
      <c r="C48" s="1" t="s">
        <v>3156</v>
      </c>
      <c r="D48" s="1" t="s">
        <v>3061</v>
      </c>
      <c r="E48" s="1" t="s">
        <v>3060</v>
      </c>
      <c r="F48" s="1" t="s">
        <v>3062</v>
      </c>
      <c r="G48" s="1" t="s">
        <v>3157</v>
      </c>
      <c r="H48" s="1" t="s">
        <v>4</v>
      </c>
    </row>
    <row r="49">
      <c r="A49" s="1" t="s">
        <v>355</v>
      </c>
      <c r="B49" s="1" t="s">
        <v>3039</v>
      </c>
      <c r="C49" s="1" t="s">
        <v>3158</v>
      </c>
      <c r="D49" s="1" t="s">
        <v>3041</v>
      </c>
      <c r="E49" s="1" t="s">
        <v>3042</v>
      </c>
      <c r="F49" s="1" t="s">
        <v>3043</v>
      </c>
      <c r="G49" s="1" t="s">
        <v>3044</v>
      </c>
      <c r="H49" s="1" t="s">
        <v>4</v>
      </c>
    </row>
    <row r="50">
      <c r="A50" s="1" t="s">
        <v>355</v>
      </c>
      <c r="B50" s="1" t="s">
        <v>3039</v>
      </c>
      <c r="C50" s="1" t="s">
        <v>3159</v>
      </c>
      <c r="D50" s="1" t="s">
        <v>2778</v>
      </c>
      <c r="E50" s="1" t="s">
        <v>3160</v>
      </c>
      <c r="F50" s="1" t="s">
        <v>2780</v>
      </c>
      <c r="G50" s="1" t="s">
        <v>1680</v>
      </c>
      <c r="H50" s="1" t="s">
        <v>4</v>
      </c>
    </row>
    <row r="51">
      <c r="A51" s="1" t="s">
        <v>355</v>
      </c>
      <c r="B51" s="1" t="s">
        <v>3039</v>
      </c>
      <c r="C51" s="1" t="s">
        <v>3161</v>
      </c>
      <c r="D51" s="1" t="s">
        <v>2776</v>
      </c>
      <c r="E51" s="1" t="s">
        <v>2780</v>
      </c>
      <c r="F51" s="1" t="s">
        <v>2778</v>
      </c>
      <c r="G51" s="1" t="s">
        <v>2777</v>
      </c>
      <c r="H51" s="1" t="s">
        <v>3</v>
      </c>
    </row>
    <row r="52">
      <c r="A52" s="1" t="s">
        <v>355</v>
      </c>
      <c r="B52" s="1" t="s">
        <v>3039</v>
      </c>
      <c r="C52" s="1" t="s">
        <v>3162</v>
      </c>
      <c r="D52" s="1">
        <v>1.0</v>
      </c>
      <c r="E52" s="1" t="s">
        <v>15</v>
      </c>
      <c r="F52" s="1" t="s">
        <v>2159</v>
      </c>
      <c r="G52" s="1" t="s">
        <v>2843</v>
      </c>
      <c r="H52" s="1" t="s">
        <v>5</v>
      </c>
    </row>
    <row r="53">
      <c r="A53" s="1" t="s">
        <v>355</v>
      </c>
      <c r="B53" s="1" t="s">
        <v>3039</v>
      </c>
      <c r="C53" s="1" t="s">
        <v>3163</v>
      </c>
      <c r="D53" s="1" t="s">
        <v>2777</v>
      </c>
      <c r="E53" s="1" t="s">
        <v>2782</v>
      </c>
      <c r="F53" s="1" t="s">
        <v>3164</v>
      </c>
      <c r="G53" s="1" t="s">
        <v>2958</v>
      </c>
      <c r="H53" s="1" t="s">
        <v>4</v>
      </c>
    </row>
    <row r="54">
      <c r="A54" s="1" t="s">
        <v>355</v>
      </c>
      <c r="B54" s="1" t="s">
        <v>3039</v>
      </c>
      <c r="C54" s="1" t="s">
        <v>3165</v>
      </c>
      <c r="D54" s="1" t="s">
        <v>3166</v>
      </c>
      <c r="E54" s="1" t="s">
        <v>3070</v>
      </c>
      <c r="F54" s="1" t="s">
        <v>3112</v>
      </c>
      <c r="G54" s="1" t="s">
        <v>3113</v>
      </c>
      <c r="H54" s="1" t="s">
        <v>5</v>
      </c>
    </row>
    <row r="55">
      <c r="A55" s="1" t="s">
        <v>355</v>
      </c>
      <c r="B55" s="1" t="s">
        <v>3039</v>
      </c>
      <c r="C55" s="1" t="s">
        <v>3167</v>
      </c>
      <c r="D55" s="1" t="s">
        <v>3041</v>
      </c>
      <c r="E55" s="1" t="s">
        <v>3042</v>
      </c>
      <c r="F55" s="1" t="s">
        <v>3043</v>
      </c>
      <c r="G55" s="1" t="s">
        <v>3044</v>
      </c>
      <c r="H55" s="1" t="s">
        <v>3</v>
      </c>
    </row>
    <row r="56">
      <c r="A56" s="1" t="s">
        <v>355</v>
      </c>
      <c r="B56" s="1" t="s">
        <v>3039</v>
      </c>
      <c r="C56" s="1" t="s">
        <v>3168</v>
      </c>
      <c r="D56" s="2">
        <v>46054.0</v>
      </c>
      <c r="E56" s="1" t="s">
        <v>3169</v>
      </c>
      <c r="F56" s="1" t="s">
        <v>2157</v>
      </c>
      <c r="G56" s="1">
        <v>1.0</v>
      </c>
      <c r="H56" s="1" t="s">
        <v>5</v>
      </c>
    </row>
    <row r="57">
      <c r="A57" s="1" t="s">
        <v>355</v>
      </c>
      <c r="B57" s="1" t="s">
        <v>3039</v>
      </c>
      <c r="C57" s="1" t="s">
        <v>3170</v>
      </c>
      <c r="D57" s="1" t="s">
        <v>2931</v>
      </c>
      <c r="E57" s="1" t="s">
        <v>2929</v>
      </c>
      <c r="F57" s="1" t="s">
        <v>2930</v>
      </c>
      <c r="G57" s="1" t="s">
        <v>1683</v>
      </c>
      <c r="H57" s="1" t="s">
        <v>4</v>
      </c>
    </row>
    <row r="58">
      <c r="A58" s="1" t="s">
        <v>355</v>
      </c>
      <c r="B58" s="1" t="s">
        <v>3039</v>
      </c>
      <c r="C58" s="1" t="s">
        <v>3171</v>
      </c>
      <c r="D58" s="1" t="s">
        <v>2931</v>
      </c>
      <c r="E58" s="1" t="s">
        <v>3077</v>
      </c>
      <c r="F58" s="1" t="s">
        <v>1682</v>
      </c>
      <c r="G58" s="1" t="s">
        <v>3076</v>
      </c>
      <c r="H58" s="1" t="s">
        <v>4</v>
      </c>
    </row>
    <row r="59">
      <c r="A59" s="1" t="s">
        <v>355</v>
      </c>
      <c r="B59" s="1" t="s">
        <v>3039</v>
      </c>
      <c r="C59" s="1" t="s">
        <v>3172</v>
      </c>
      <c r="D59" s="1" t="s">
        <v>1975</v>
      </c>
      <c r="E59" s="1" t="s">
        <v>3173</v>
      </c>
      <c r="F59" s="1" t="s">
        <v>3174</v>
      </c>
      <c r="G59" s="1" t="s">
        <v>849</v>
      </c>
      <c r="H59" s="1" t="s">
        <v>5</v>
      </c>
    </row>
    <row r="60">
      <c r="A60" s="1" t="s">
        <v>355</v>
      </c>
      <c r="B60" s="1" t="s">
        <v>3039</v>
      </c>
      <c r="C60" s="1" t="s">
        <v>3175</v>
      </c>
      <c r="D60" s="1" t="s">
        <v>3041</v>
      </c>
      <c r="E60" s="1" t="s">
        <v>3042</v>
      </c>
      <c r="F60" s="1" t="s">
        <v>3043</v>
      </c>
      <c r="G60" s="1" t="s">
        <v>3044</v>
      </c>
      <c r="H60" s="1" t="s">
        <v>4</v>
      </c>
    </row>
    <row r="61">
      <c r="A61" s="1" t="s">
        <v>355</v>
      </c>
      <c r="B61" s="1" t="s">
        <v>3039</v>
      </c>
      <c r="C61" s="1" t="s">
        <v>3176</v>
      </c>
      <c r="D61" s="1" t="s">
        <v>15</v>
      </c>
      <c r="E61" s="1" t="s">
        <v>2159</v>
      </c>
      <c r="F61" s="1">
        <v>1.0</v>
      </c>
      <c r="G61" s="1">
        <v>0.0</v>
      </c>
      <c r="H61" s="1" t="s">
        <v>4</v>
      </c>
    </row>
    <row r="62">
      <c r="A62" s="1" t="s">
        <v>355</v>
      </c>
      <c r="B62" s="1" t="s">
        <v>3039</v>
      </c>
      <c r="C62" s="1" t="s">
        <v>3177</v>
      </c>
      <c r="D62" s="1" t="s">
        <v>3041</v>
      </c>
      <c r="E62" s="1" t="s">
        <v>3042</v>
      </c>
      <c r="F62" s="1" t="s">
        <v>3043</v>
      </c>
      <c r="G62" s="1" t="s">
        <v>3073</v>
      </c>
      <c r="H62" s="1" t="s">
        <v>5</v>
      </c>
    </row>
    <row r="63">
      <c r="A63" s="1" t="s">
        <v>355</v>
      </c>
      <c r="B63" s="1" t="s">
        <v>3039</v>
      </c>
      <c r="C63" s="1" t="s">
        <v>3178</v>
      </c>
      <c r="D63" s="1" t="s">
        <v>3067</v>
      </c>
      <c r="E63" s="1" t="s">
        <v>3179</v>
      </c>
      <c r="F63" s="1" t="s">
        <v>3180</v>
      </c>
      <c r="G63" s="1" t="s">
        <v>2947</v>
      </c>
      <c r="H63" s="1" t="s">
        <v>5</v>
      </c>
    </row>
    <row r="64">
      <c r="A64" s="1" t="s">
        <v>355</v>
      </c>
      <c r="B64" s="1" t="s">
        <v>3039</v>
      </c>
      <c r="C64" s="1" t="s">
        <v>3181</v>
      </c>
      <c r="D64" s="1" t="s">
        <v>3182</v>
      </c>
      <c r="E64" s="1" t="s">
        <v>3183</v>
      </c>
      <c r="F64" s="1" t="s">
        <v>3184</v>
      </c>
      <c r="G64" s="1" t="s">
        <v>22</v>
      </c>
      <c r="H64" s="1" t="s">
        <v>4</v>
      </c>
    </row>
    <row r="65">
      <c r="A65" s="1" t="s">
        <v>355</v>
      </c>
      <c r="B65" s="1" t="s">
        <v>3039</v>
      </c>
      <c r="C65" s="1" t="s">
        <v>3185</v>
      </c>
      <c r="D65" s="1">
        <v>1.0</v>
      </c>
      <c r="E65" s="1" t="s">
        <v>2159</v>
      </c>
      <c r="F65" s="1" t="s">
        <v>15</v>
      </c>
      <c r="G65" s="1" t="s">
        <v>2843</v>
      </c>
      <c r="H65" s="1" t="s">
        <v>5</v>
      </c>
    </row>
    <row r="66">
      <c r="A66" s="1" t="s">
        <v>355</v>
      </c>
      <c r="B66" s="1" t="s">
        <v>3039</v>
      </c>
      <c r="C66" s="1" t="s">
        <v>3186</v>
      </c>
      <c r="D66" s="1" t="s">
        <v>2776</v>
      </c>
      <c r="E66" s="1" t="s">
        <v>1680</v>
      </c>
      <c r="F66" s="1" t="s">
        <v>2777</v>
      </c>
      <c r="G66" s="1" t="s">
        <v>2778</v>
      </c>
      <c r="H66" s="1" t="s">
        <v>3</v>
      </c>
    </row>
    <row r="67">
      <c r="A67" s="1" t="s">
        <v>355</v>
      </c>
      <c r="B67" s="1" t="s">
        <v>3039</v>
      </c>
      <c r="C67" s="1" t="s">
        <v>3187</v>
      </c>
      <c r="D67" s="1" t="s">
        <v>2096</v>
      </c>
      <c r="E67" s="1" t="s">
        <v>2095</v>
      </c>
      <c r="F67" s="1" t="s">
        <v>3152</v>
      </c>
      <c r="G67" s="1" t="s">
        <v>2093</v>
      </c>
      <c r="H67" s="1" t="s">
        <v>4</v>
      </c>
    </row>
    <row r="68">
      <c r="A68" s="1" t="s">
        <v>355</v>
      </c>
      <c r="B68" s="1" t="s">
        <v>3039</v>
      </c>
      <c r="C68" s="1" t="s">
        <v>3188</v>
      </c>
      <c r="D68" s="1" t="s">
        <v>3041</v>
      </c>
      <c r="E68" s="1" t="s">
        <v>3042</v>
      </c>
      <c r="F68" s="1" t="s">
        <v>3043</v>
      </c>
      <c r="G68" s="1" t="s">
        <v>3044</v>
      </c>
      <c r="H68" s="1" t="s">
        <v>3</v>
      </c>
    </row>
    <row r="69">
      <c r="A69" s="1" t="s">
        <v>355</v>
      </c>
      <c r="B69" s="1" t="s">
        <v>3039</v>
      </c>
      <c r="C69" s="1" t="s">
        <v>3189</v>
      </c>
      <c r="D69" s="1" t="s">
        <v>3076</v>
      </c>
      <c r="E69" s="1" t="s">
        <v>2931</v>
      </c>
      <c r="F69" s="1" t="s">
        <v>3077</v>
      </c>
      <c r="G69" s="1" t="s">
        <v>1682</v>
      </c>
      <c r="H69" s="1" t="s">
        <v>4</v>
      </c>
    </row>
    <row r="70">
      <c r="A70" s="1" t="s">
        <v>355</v>
      </c>
      <c r="B70" s="1" t="s">
        <v>3039</v>
      </c>
      <c r="C70" s="1" t="s">
        <v>3190</v>
      </c>
      <c r="D70" s="2">
        <v>46054.0</v>
      </c>
      <c r="E70" s="1" t="s">
        <v>2157</v>
      </c>
      <c r="F70" s="1">
        <v>1.0</v>
      </c>
      <c r="G70" s="1">
        <v>0.0</v>
      </c>
      <c r="H70" s="1" t="s">
        <v>4</v>
      </c>
    </row>
    <row r="71">
      <c r="A71" s="1" t="s">
        <v>355</v>
      </c>
      <c r="B71" s="1" t="s">
        <v>3039</v>
      </c>
      <c r="C71" s="1" t="s">
        <v>3147</v>
      </c>
      <c r="D71" s="1" t="s">
        <v>3148</v>
      </c>
      <c r="E71" s="1" t="s">
        <v>3149</v>
      </c>
      <c r="F71" s="1" t="s">
        <v>3191</v>
      </c>
      <c r="G71" s="1" t="s">
        <v>22</v>
      </c>
      <c r="H71" s="1" t="s">
        <v>4</v>
      </c>
    </row>
    <row r="72">
      <c r="A72" s="1" t="s">
        <v>355</v>
      </c>
      <c r="B72" s="1" t="s">
        <v>3039</v>
      </c>
      <c r="C72" s="1" t="s">
        <v>3192</v>
      </c>
      <c r="D72" s="1" t="s">
        <v>2957</v>
      </c>
      <c r="E72" s="1" t="s">
        <v>2958</v>
      </c>
      <c r="F72" s="1" t="s">
        <v>2960</v>
      </c>
      <c r="G72" s="1" t="s">
        <v>2959</v>
      </c>
      <c r="H72" s="1" t="s">
        <v>4</v>
      </c>
    </row>
    <row r="73">
      <c r="A73" s="1" t="s">
        <v>355</v>
      </c>
      <c r="B73" s="1" t="s">
        <v>3039</v>
      </c>
      <c r="C73" s="1" t="s">
        <v>3193</v>
      </c>
      <c r="D73" s="1" t="s">
        <v>2780</v>
      </c>
      <c r="E73" s="1" t="s">
        <v>2933</v>
      </c>
      <c r="F73" s="1" t="s">
        <v>2776</v>
      </c>
      <c r="G73" s="1" t="s">
        <v>1680</v>
      </c>
      <c r="H73" s="1" t="s">
        <v>3</v>
      </c>
    </row>
    <row r="74">
      <c r="A74" s="1" t="s">
        <v>355</v>
      </c>
      <c r="B74" s="1" t="s">
        <v>3039</v>
      </c>
      <c r="C74" s="1" t="s">
        <v>3194</v>
      </c>
      <c r="D74" s="1" t="s">
        <v>3195</v>
      </c>
      <c r="E74" s="1" t="s">
        <v>3196</v>
      </c>
      <c r="F74" s="1" t="s">
        <v>3197</v>
      </c>
      <c r="G74" s="1" t="s">
        <v>22</v>
      </c>
      <c r="H74" s="1" t="s">
        <v>3</v>
      </c>
    </row>
    <row r="75">
      <c r="A75" s="1" t="s">
        <v>355</v>
      </c>
      <c r="B75" s="1" t="s">
        <v>3039</v>
      </c>
      <c r="C75" s="1" t="s">
        <v>3198</v>
      </c>
      <c r="D75" s="1">
        <v>1.0</v>
      </c>
      <c r="E75" s="1">
        <v>2.0</v>
      </c>
      <c r="F75" s="1" t="s">
        <v>3199</v>
      </c>
      <c r="G75" s="1" t="s">
        <v>223</v>
      </c>
      <c r="H75" s="1" t="s">
        <v>4</v>
      </c>
    </row>
    <row r="76">
      <c r="A76" s="1" t="s">
        <v>355</v>
      </c>
      <c r="B76" s="1" t="s">
        <v>3039</v>
      </c>
      <c r="C76" s="1" t="s">
        <v>3200</v>
      </c>
      <c r="D76" s="1" t="s">
        <v>3041</v>
      </c>
      <c r="E76" s="1" t="s">
        <v>3042</v>
      </c>
      <c r="F76" s="1" t="s">
        <v>3043</v>
      </c>
      <c r="G76" s="1" t="s">
        <v>3044</v>
      </c>
      <c r="H76" s="1" t="s">
        <v>4</v>
      </c>
    </row>
    <row r="77">
      <c r="A77" s="1" t="s">
        <v>355</v>
      </c>
      <c r="B77" s="1" t="s">
        <v>3039</v>
      </c>
      <c r="C77" s="1" t="s">
        <v>3201</v>
      </c>
      <c r="D77" s="1" t="s">
        <v>3202</v>
      </c>
      <c r="E77" s="1" t="s">
        <v>3203</v>
      </c>
      <c r="F77" s="1" t="s">
        <v>3113</v>
      </c>
      <c r="G77" s="1" t="s">
        <v>3204</v>
      </c>
      <c r="H77" s="1" t="s">
        <v>3</v>
      </c>
    </row>
    <row r="78">
      <c r="A78" s="1" t="s">
        <v>355</v>
      </c>
      <c r="B78" s="1" t="s">
        <v>3039</v>
      </c>
      <c r="C78" s="1" t="s">
        <v>3205</v>
      </c>
      <c r="D78" s="1" t="s">
        <v>2943</v>
      </c>
      <c r="E78" s="1" t="s">
        <v>3206</v>
      </c>
      <c r="F78" s="1" t="s">
        <v>3207</v>
      </c>
      <c r="G78" s="1" t="s">
        <v>3208</v>
      </c>
      <c r="H78" s="1" t="s">
        <v>5</v>
      </c>
    </row>
    <row r="79">
      <c r="A79" s="1" t="s">
        <v>355</v>
      </c>
      <c r="B79" s="1" t="s">
        <v>3039</v>
      </c>
      <c r="C79" s="1" t="s">
        <v>3209</v>
      </c>
      <c r="D79" s="1" t="s">
        <v>1680</v>
      </c>
      <c r="E79" s="1" t="s">
        <v>2933</v>
      </c>
      <c r="F79" s="1" t="s">
        <v>1681</v>
      </c>
      <c r="G79" s="1" t="s">
        <v>3210</v>
      </c>
      <c r="H79" s="1" t="s">
        <v>4</v>
      </c>
    </row>
    <row r="80">
      <c r="A80" s="1" t="s">
        <v>355</v>
      </c>
      <c r="B80" s="1" t="s">
        <v>3039</v>
      </c>
      <c r="C80" s="1" t="s">
        <v>3211</v>
      </c>
      <c r="D80" s="1" t="s">
        <v>3212</v>
      </c>
      <c r="E80" s="1" t="s">
        <v>3213</v>
      </c>
      <c r="F80" s="1" t="s">
        <v>3214</v>
      </c>
      <c r="G80" s="1" t="s">
        <v>881</v>
      </c>
      <c r="H80" s="1" t="s">
        <v>4</v>
      </c>
    </row>
    <row r="81">
      <c r="A81" s="1" t="s">
        <v>355</v>
      </c>
      <c r="B81" s="1" t="s">
        <v>3039</v>
      </c>
      <c r="C81" s="1" t="s">
        <v>3215</v>
      </c>
      <c r="D81" s="1">
        <v>1.0</v>
      </c>
      <c r="E81" s="1" t="s">
        <v>3169</v>
      </c>
      <c r="F81" s="1" t="s">
        <v>2157</v>
      </c>
      <c r="G81" s="1">
        <v>0.0</v>
      </c>
      <c r="H81" s="1" t="s">
        <v>4</v>
      </c>
    </row>
    <row r="82">
      <c r="A82" s="1" t="s">
        <v>355</v>
      </c>
      <c r="B82" s="1" t="s">
        <v>3039</v>
      </c>
      <c r="C82" s="1" t="s">
        <v>3216</v>
      </c>
      <c r="D82" s="1" t="s">
        <v>3217</v>
      </c>
      <c r="E82" s="1" t="s">
        <v>3218</v>
      </c>
      <c r="F82" s="1" t="s">
        <v>3219</v>
      </c>
      <c r="G82" s="1" t="s">
        <v>3220</v>
      </c>
      <c r="H82" s="1" t="s">
        <v>3</v>
      </c>
    </row>
    <row r="83">
      <c r="A83" s="1" t="s">
        <v>355</v>
      </c>
      <c r="B83" s="1" t="s">
        <v>3039</v>
      </c>
      <c r="C83" s="1" t="s">
        <v>3221</v>
      </c>
      <c r="D83" s="2">
        <v>46054.0</v>
      </c>
      <c r="E83" s="1" t="s">
        <v>2157</v>
      </c>
      <c r="F83" s="1">
        <v>1.0</v>
      </c>
      <c r="G83" s="1" t="s">
        <v>15</v>
      </c>
      <c r="H83" s="1" t="s">
        <v>4</v>
      </c>
    </row>
    <row r="84">
      <c r="A84" s="1" t="s">
        <v>355</v>
      </c>
      <c r="B84" s="1" t="s">
        <v>3039</v>
      </c>
      <c r="C84" s="1" t="s">
        <v>3222</v>
      </c>
      <c r="D84" s="1" t="s">
        <v>3223</v>
      </c>
      <c r="E84" s="1" t="s">
        <v>3224</v>
      </c>
      <c r="F84" s="1" t="s">
        <v>3225</v>
      </c>
      <c r="G84" s="1" t="s">
        <v>3226</v>
      </c>
      <c r="H84" s="1" t="s">
        <v>4</v>
      </c>
    </row>
    <row r="85">
      <c r="A85" s="1" t="s">
        <v>355</v>
      </c>
      <c r="B85" s="1" t="s">
        <v>3039</v>
      </c>
      <c r="C85" s="1" t="s">
        <v>3227</v>
      </c>
      <c r="D85" s="1" t="s">
        <v>3041</v>
      </c>
      <c r="E85" s="1" t="s">
        <v>3042</v>
      </c>
      <c r="F85" s="1" t="s">
        <v>3043</v>
      </c>
      <c r="G85" s="1" t="s">
        <v>3044</v>
      </c>
      <c r="H85" s="1" t="s">
        <v>5</v>
      </c>
    </row>
    <row r="86">
      <c r="A86" s="1" t="s">
        <v>355</v>
      </c>
      <c r="B86" s="1" t="s">
        <v>3039</v>
      </c>
      <c r="C86" s="1" t="s">
        <v>3228</v>
      </c>
      <c r="D86" s="1" t="s">
        <v>3041</v>
      </c>
      <c r="E86" s="1" t="s">
        <v>3042</v>
      </c>
      <c r="F86" s="1" t="s">
        <v>3043</v>
      </c>
      <c r="G86" s="1" t="s">
        <v>3044</v>
      </c>
      <c r="H86" s="1" t="s">
        <v>5</v>
      </c>
    </row>
    <row r="87">
      <c r="A87" s="1" t="s">
        <v>355</v>
      </c>
      <c r="B87" s="1" t="s">
        <v>3039</v>
      </c>
      <c r="C87" s="1" t="s">
        <v>3229</v>
      </c>
      <c r="D87" s="1" t="s">
        <v>3041</v>
      </c>
      <c r="E87" s="1" t="s">
        <v>3042</v>
      </c>
      <c r="F87" s="1" t="s">
        <v>3043</v>
      </c>
      <c r="G87" s="1" t="s">
        <v>3044</v>
      </c>
      <c r="H87" s="1" t="s">
        <v>3</v>
      </c>
    </row>
    <row r="88">
      <c r="A88" s="1" t="s">
        <v>355</v>
      </c>
      <c r="B88" s="1" t="s">
        <v>3039</v>
      </c>
      <c r="C88" s="1" t="s">
        <v>3230</v>
      </c>
      <c r="D88" s="1" t="s">
        <v>3231</v>
      </c>
      <c r="E88" s="1" t="s">
        <v>3232</v>
      </c>
      <c r="F88" s="1" t="s">
        <v>3233</v>
      </c>
      <c r="G88" s="1" t="s">
        <v>3234</v>
      </c>
      <c r="H88" s="1" t="s">
        <v>3</v>
      </c>
    </row>
    <row r="89">
      <c r="A89" s="1" t="s">
        <v>355</v>
      </c>
      <c r="B89" s="1" t="s">
        <v>3039</v>
      </c>
      <c r="C89" s="1" t="s">
        <v>3235</v>
      </c>
      <c r="D89" s="1" t="s">
        <v>2157</v>
      </c>
      <c r="E89" s="1" t="s">
        <v>3199</v>
      </c>
      <c r="F89" s="1">
        <v>2.0</v>
      </c>
      <c r="G89" s="1">
        <v>1.0</v>
      </c>
      <c r="H89" s="1" t="s">
        <v>4</v>
      </c>
    </row>
    <row r="90">
      <c r="A90" s="1" t="s">
        <v>355</v>
      </c>
      <c r="B90" s="1" t="s">
        <v>3039</v>
      </c>
      <c r="C90" s="1" t="s">
        <v>3236</v>
      </c>
      <c r="D90" s="1" t="s">
        <v>1680</v>
      </c>
      <c r="E90" s="1" t="s">
        <v>1681</v>
      </c>
      <c r="F90" s="1" t="s">
        <v>3090</v>
      </c>
      <c r="G90" s="1" t="s">
        <v>2958</v>
      </c>
      <c r="H90" s="1" t="s">
        <v>4</v>
      </c>
    </row>
    <row r="91">
      <c r="A91" s="1" t="s">
        <v>355</v>
      </c>
      <c r="B91" s="1" t="s">
        <v>3039</v>
      </c>
      <c r="C91" s="1" t="s">
        <v>3237</v>
      </c>
      <c r="D91" s="1" t="s">
        <v>3041</v>
      </c>
      <c r="E91" s="1" t="s">
        <v>3043</v>
      </c>
      <c r="F91" s="1" t="s">
        <v>3073</v>
      </c>
      <c r="G91" s="1" t="s">
        <v>3238</v>
      </c>
      <c r="H91" s="1" t="s">
        <v>6</v>
      </c>
    </row>
    <row r="92">
      <c r="A92" s="1" t="s">
        <v>355</v>
      </c>
      <c r="B92" s="1" t="s">
        <v>3039</v>
      </c>
      <c r="C92" s="1" t="s">
        <v>3239</v>
      </c>
      <c r="D92" s="1" t="s">
        <v>3240</v>
      </c>
      <c r="E92" s="1" t="s">
        <v>3241</v>
      </c>
      <c r="F92" s="1" t="s">
        <v>3242</v>
      </c>
      <c r="G92" s="1" t="s">
        <v>22</v>
      </c>
      <c r="H92" s="1" t="s">
        <v>3</v>
      </c>
    </row>
    <row r="93">
      <c r="A93" s="1" t="s">
        <v>355</v>
      </c>
      <c r="B93" s="1" t="s">
        <v>3039</v>
      </c>
      <c r="C93" s="1" t="s">
        <v>3243</v>
      </c>
      <c r="D93" s="1" t="s">
        <v>2758</v>
      </c>
      <c r="E93" s="1" t="s">
        <v>2760</v>
      </c>
      <c r="F93" s="1" t="s">
        <v>2757</v>
      </c>
      <c r="G93" s="1" t="s">
        <v>3244</v>
      </c>
      <c r="H93" s="1" t="s">
        <v>3</v>
      </c>
    </row>
    <row r="94">
      <c r="A94" s="1" t="s">
        <v>355</v>
      </c>
      <c r="B94" s="1" t="s">
        <v>3039</v>
      </c>
      <c r="C94" s="1" t="s">
        <v>3245</v>
      </c>
      <c r="D94" s="1" t="s">
        <v>2931</v>
      </c>
      <c r="E94" s="1" t="s">
        <v>1682</v>
      </c>
      <c r="F94" s="1" t="s">
        <v>3246</v>
      </c>
      <c r="G94" s="1" t="s">
        <v>1683</v>
      </c>
      <c r="H94" s="1" t="s">
        <v>4</v>
      </c>
    </row>
    <row r="95">
      <c r="A95" s="1" t="s">
        <v>355</v>
      </c>
      <c r="B95" s="1" t="s">
        <v>3039</v>
      </c>
      <c r="C95" s="1" t="s">
        <v>3247</v>
      </c>
      <c r="D95" s="1" t="s">
        <v>2930</v>
      </c>
      <c r="E95" s="1" t="s">
        <v>3248</v>
      </c>
      <c r="F95" s="1" t="s">
        <v>2931</v>
      </c>
      <c r="G95" s="1" t="s">
        <v>1683</v>
      </c>
      <c r="H95" s="1" t="s">
        <v>4</v>
      </c>
    </row>
    <row r="96">
      <c r="A96" s="1" t="s">
        <v>355</v>
      </c>
      <c r="B96" s="1" t="s">
        <v>3039</v>
      </c>
      <c r="C96" s="1" t="s">
        <v>3249</v>
      </c>
      <c r="D96" s="1" t="s">
        <v>3041</v>
      </c>
      <c r="E96" s="1" t="s">
        <v>3042</v>
      </c>
      <c r="F96" s="1" t="s">
        <v>3043</v>
      </c>
      <c r="G96" s="1" t="s">
        <v>3044</v>
      </c>
      <c r="H96" s="1" t="s">
        <v>4</v>
      </c>
    </row>
    <row r="97">
      <c r="A97" s="1" t="s">
        <v>355</v>
      </c>
      <c r="B97" s="1" t="s">
        <v>3039</v>
      </c>
      <c r="C97" s="1" t="s">
        <v>3250</v>
      </c>
      <c r="D97" s="1" t="s">
        <v>3076</v>
      </c>
      <c r="E97" s="1" t="s">
        <v>3251</v>
      </c>
      <c r="F97" s="1" t="s">
        <v>2931</v>
      </c>
      <c r="G97" s="1" t="s">
        <v>2929</v>
      </c>
      <c r="H97" s="1" t="s">
        <v>4</v>
      </c>
    </row>
    <row r="98">
      <c r="A98" s="1" t="s">
        <v>355</v>
      </c>
      <c r="B98" s="1" t="s">
        <v>3039</v>
      </c>
      <c r="C98" s="1" t="s">
        <v>3252</v>
      </c>
      <c r="D98" s="1" t="s">
        <v>2776</v>
      </c>
      <c r="E98" s="1" t="s">
        <v>1680</v>
      </c>
      <c r="F98" s="1" t="s">
        <v>2958</v>
      </c>
      <c r="G98" s="1" t="s">
        <v>1681</v>
      </c>
      <c r="H98" s="1" t="s">
        <v>3</v>
      </c>
    </row>
    <row r="99">
      <c r="A99" s="1" t="s">
        <v>355</v>
      </c>
      <c r="B99" s="1" t="s">
        <v>3039</v>
      </c>
      <c r="C99" s="1" t="s">
        <v>3253</v>
      </c>
      <c r="D99" s="1" t="s">
        <v>2778</v>
      </c>
      <c r="E99" s="1" t="s">
        <v>2776</v>
      </c>
      <c r="F99" s="1" t="s">
        <v>3124</v>
      </c>
      <c r="G99" s="1" t="s">
        <v>2777</v>
      </c>
      <c r="H99" s="1" t="s">
        <v>3</v>
      </c>
    </row>
    <row r="100">
      <c r="A100" s="1" t="s">
        <v>355</v>
      </c>
      <c r="B100" s="1" t="s">
        <v>3039</v>
      </c>
      <c r="C100" s="1" t="s">
        <v>3254</v>
      </c>
      <c r="D100" s="1">
        <v>0.0</v>
      </c>
      <c r="E100" s="1">
        <v>1.0</v>
      </c>
      <c r="F100" s="1" t="s">
        <v>3255</v>
      </c>
      <c r="G100" s="1" t="s">
        <v>15</v>
      </c>
      <c r="H100" s="1" t="s">
        <v>5</v>
      </c>
    </row>
    <row r="101">
      <c r="A101" s="1" t="s">
        <v>355</v>
      </c>
      <c r="B101" s="1" t="s">
        <v>3039</v>
      </c>
      <c r="C101" s="1" t="s">
        <v>3256</v>
      </c>
      <c r="D101" s="1" t="s">
        <v>3257</v>
      </c>
      <c r="E101" s="1" t="s">
        <v>3258</v>
      </c>
      <c r="F101" s="1" t="s">
        <v>3259</v>
      </c>
      <c r="G101" s="1" t="s">
        <v>3260</v>
      </c>
      <c r="H101" s="1" t="s">
        <v>4</v>
      </c>
    </row>
    <row r="102">
      <c r="A102" s="1" t="s">
        <v>355</v>
      </c>
      <c r="B102" s="1" t="s">
        <v>3039</v>
      </c>
      <c r="C102" s="1" t="s">
        <v>3261</v>
      </c>
      <c r="D102" s="1" t="s">
        <v>3139</v>
      </c>
      <c r="E102" s="1" t="s">
        <v>3262</v>
      </c>
      <c r="F102" s="1" t="s">
        <v>3263</v>
      </c>
      <c r="G102" s="1" t="s">
        <v>3264</v>
      </c>
      <c r="H102" s="1" t="s">
        <v>4</v>
      </c>
    </row>
    <row r="103">
      <c r="A103" s="1" t="s">
        <v>355</v>
      </c>
      <c r="B103" s="1" t="s">
        <v>3039</v>
      </c>
      <c r="C103" s="1" t="s">
        <v>3265</v>
      </c>
      <c r="D103" s="1" t="s">
        <v>3266</v>
      </c>
      <c r="E103" s="1" t="s">
        <v>3267</v>
      </c>
      <c r="F103" s="1" t="s">
        <v>3268</v>
      </c>
      <c r="G103" s="1" t="s">
        <v>3269</v>
      </c>
      <c r="H103" s="1" t="s">
        <v>4</v>
      </c>
    </row>
    <row r="104">
      <c r="A104" s="1" t="s">
        <v>355</v>
      </c>
      <c r="B104" s="1" t="s">
        <v>3039</v>
      </c>
      <c r="C104" s="1" t="s">
        <v>3270</v>
      </c>
      <c r="D104" s="1" t="s">
        <v>15</v>
      </c>
      <c r="E104" s="1" t="s">
        <v>2159</v>
      </c>
      <c r="F104" s="1">
        <v>1.0</v>
      </c>
      <c r="G104" s="1">
        <v>0.0</v>
      </c>
      <c r="H104" s="1" t="s">
        <v>3</v>
      </c>
    </row>
    <row r="105">
      <c r="A105" s="1" t="s">
        <v>355</v>
      </c>
      <c r="B105" s="1" t="s">
        <v>3039</v>
      </c>
      <c r="C105" s="1" t="s">
        <v>3271</v>
      </c>
      <c r="D105" s="1" t="s">
        <v>3179</v>
      </c>
      <c r="E105" s="1" t="s">
        <v>3069</v>
      </c>
      <c r="F105" s="1" t="s">
        <v>2948</v>
      </c>
      <c r="G105" s="1" t="s">
        <v>3070</v>
      </c>
      <c r="H105" s="1" t="s">
        <v>4</v>
      </c>
    </row>
    <row r="106">
      <c r="A106" s="1" t="s">
        <v>355</v>
      </c>
      <c r="B106" s="1" t="s">
        <v>3039</v>
      </c>
      <c r="C106" s="1" t="s">
        <v>3272</v>
      </c>
      <c r="D106" s="1" t="s">
        <v>3273</v>
      </c>
      <c r="E106" s="1" t="s">
        <v>3274</v>
      </c>
      <c r="F106" s="1" t="s">
        <v>3077</v>
      </c>
      <c r="G106" s="1" t="s">
        <v>3246</v>
      </c>
      <c r="H106" s="1" t="s">
        <v>3</v>
      </c>
    </row>
    <row r="107">
      <c r="A107" s="1" t="s">
        <v>355</v>
      </c>
      <c r="B107" s="1" t="s">
        <v>3039</v>
      </c>
      <c r="C107" s="1" t="s">
        <v>3275</v>
      </c>
      <c r="D107" s="1">
        <v>1.0</v>
      </c>
      <c r="E107" s="1" t="s">
        <v>3169</v>
      </c>
      <c r="F107" s="1" t="s">
        <v>2157</v>
      </c>
      <c r="G107" s="1">
        <v>0.0</v>
      </c>
      <c r="H107" s="1" t="s">
        <v>4</v>
      </c>
    </row>
    <row r="108">
      <c r="A108" s="1" t="s">
        <v>355</v>
      </c>
      <c r="B108" s="1" t="s">
        <v>3039</v>
      </c>
      <c r="C108" s="1" t="s">
        <v>3276</v>
      </c>
      <c r="D108" s="1" t="s">
        <v>3041</v>
      </c>
      <c r="E108" s="1" t="s">
        <v>3042</v>
      </c>
      <c r="F108" s="1" t="s">
        <v>3043</v>
      </c>
      <c r="G108" s="1" t="s">
        <v>3044</v>
      </c>
      <c r="H108" s="1" t="s">
        <v>3</v>
      </c>
    </row>
    <row r="109">
      <c r="A109" s="1" t="s">
        <v>355</v>
      </c>
      <c r="B109" s="1" t="s">
        <v>3039</v>
      </c>
      <c r="C109" s="1" t="s">
        <v>3277</v>
      </c>
      <c r="D109" s="1" t="s">
        <v>2776</v>
      </c>
      <c r="E109" s="1" t="s">
        <v>2780</v>
      </c>
      <c r="F109" s="1" t="s">
        <v>3278</v>
      </c>
      <c r="G109" s="1" t="s">
        <v>1680</v>
      </c>
      <c r="H109" s="1" t="s">
        <v>4</v>
      </c>
    </row>
    <row r="110">
      <c r="A110" s="1" t="s">
        <v>355</v>
      </c>
      <c r="B110" s="1" t="s">
        <v>3039</v>
      </c>
      <c r="C110" s="1" t="s">
        <v>3279</v>
      </c>
      <c r="D110" s="1">
        <v>2.0</v>
      </c>
      <c r="E110" s="1" t="s">
        <v>223</v>
      </c>
      <c r="F110" s="1" t="s">
        <v>3199</v>
      </c>
      <c r="G110" s="1">
        <v>1.0</v>
      </c>
      <c r="H110" s="1" t="s">
        <v>5</v>
      </c>
    </row>
    <row r="111">
      <c r="A111" s="1" t="s">
        <v>355</v>
      </c>
      <c r="B111" s="1" t="s">
        <v>3039</v>
      </c>
      <c r="C111" s="1" t="s">
        <v>3280</v>
      </c>
      <c r="D111" s="1" t="s">
        <v>3076</v>
      </c>
      <c r="E111" s="1" t="s">
        <v>2931</v>
      </c>
      <c r="F111" s="1" t="s">
        <v>3077</v>
      </c>
      <c r="G111" s="1" t="s">
        <v>1682</v>
      </c>
      <c r="H111" s="1" t="s">
        <v>4</v>
      </c>
    </row>
    <row r="112">
      <c r="A112" s="1" t="s">
        <v>355</v>
      </c>
      <c r="B112" s="1" t="s">
        <v>3039</v>
      </c>
      <c r="C112" s="1" t="s">
        <v>3281</v>
      </c>
      <c r="D112" s="1" t="s">
        <v>3282</v>
      </c>
      <c r="E112" s="1" t="s">
        <v>3283</v>
      </c>
      <c r="F112" s="1" t="s">
        <v>3284</v>
      </c>
      <c r="G112" s="1" t="s">
        <v>3285</v>
      </c>
      <c r="H112" s="1" t="s">
        <v>3</v>
      </c>
    </row>
    <row r="113">
      <c r="A113" s="1" t="s">
        <v>355</v>
      </c>
      <c r="B113" s="1" t="s">
        <v>3039</v>
      </c>
      <c r="C113" s="1" t="s">
        <v>3286</v>
      </c>
      <c r="D113" s="1" t="s">
        <v>3287</v>
      </c>
      <c r="E113" s="1" t="s">
        <v>3288</v>
      </c>
      <c r="F113" s="1" t="s">
        <v>2777</v>
      </c>
      <c r="G113" s="1" t="s">
        <v>2958</v>
      </c>
      <c r="H113" s="1" t="s">
        <v>3</v>
      </c>
    </row>
    <row r="114">
      <c r="A114" s="1" t="s">
        <v>355</v>
      </c>
      <c r="B114" s="1" t="s">
        <v>3039</v>
      </c>
      <c r="C114" s="1" t="s">
        <v>3289</v>
      </c>
      <c r="D114" s="1" t="s">
        <v>320</v>
      </c>
      <c r="E114" s="1" t="s">
        <v>3290</v>
      </c>
      <c r="F114" s="1" t="s">
        <v>3014</v>
      </c>
      <c r="G114" s="1" t="s">
        <v>32</v>
      </c>
      <c r="H114" s="1" t="s">
        <v>5</v>
      </c>
    </row>
    <row r="115">
      <c r="A115" s="1" t="s">
        <v>355</v>
      </c>
      <c r="B115" s="1" t="s">
        <v>3039</v>
      </c>
      <c r="C115" s="1" t="s">
        <v>2838</v>
      </c>
      <c r="D115" s="1">
        <v>0.0</v>
      </c>
      <c r="E115" s="1">
        <v>1.0</v>
      </c>
      <c r="F115" s="2">
        <v>46054.0</v>
      </c>
      <c r="G115" s="1">
        <v>2.0</v>
      </c>
      <c r="H115" s="1" t="s">
        <v>4</v>
      </c>
    </row>
    <row r="116">
      <c r="A116" s="1" t="s">
        <v>355</v>
      </c>
      <c r="B116" s="1" t="s">
        <v>3039</v>
      </c>
      <c r="C116" s="1" t="s">
        <v>3291</v>
      </c>
      <c r="D116" s="1" t="s">
        <v>3041</v>
      </c>
      <c r="E116" s="1" t="s">
        <v>3042</v>
      </c>
      <c r="F116" s="1" t="s">
        <v>3043</v>
      </c>
      <c r="G116" s="1" t="s">
        <v>3044</v>
      </c>
      <c r="H116" s="1" t="s">
        <v>4</v>
      </c>
    </row>
    <row r="117">
      <c r="A117" s="1" t="s">
        <v>355</v>
      </c>
      <c r="B117" s="1" t="s">
        <v>3039</v>
      </c>
      <c r="C117" s="1" t="s">
        <v>3292</v>
      </c>
      <c r="D117" s="1" t="s">
        <v>3293</v>
      </c>
      <c r="E117" s="1" t="s">
        <v>2933</v>
      </c>
      <c r="F117" s="1" t="s">
        <v>1680</v>
      </c>
      <c r="G117" s="1" t="s">
        <v>1681</v>
      </c>
      <c r="H117" s="1" t="s">
        <v>3</v>
      </c>
    </row>
    <row r="118">
      <c r="A118" s="1" t="s">
        <v>355</v>
      </c>
      <c r="B118" s="1" t="s">
        <v>3039</v>
      </c>
      <c r="C118" s="1" t="s">
        <v>3294</v>
      </c>
      <c r="D118" s="1">
        <v>1.0</v>
      </c>
      <c r="E118" s="1">
        <v>0.0</v>
      </c>
      <c r="F118" s="1">
        <v>2.0</v>
      </c>
      <c r="G118" s="1">
        <v>-1.0</v>
      </c>
      <c r="H118" s="1" t="s">
        <v>4</v>
      </c>
    </row>
    <row r="119">
      <c r="A119" s="1" t="s">
        <v>355</v>
      </c>
      <c r="B119" s="1" t="s">
        <v>3039</v>
      </c>
      <c r="C119" s="1" t="s">
        <v>3295</v>
      </c>
      <c r="D119" s="1" t="s">
        <v>3296</v>
      </c>
      <c r="E119" s="1" t="s">
        <v>3297</v>
      </c>
      <c r="F119" s="1" t="s">
        <v>3207</v>
      </c>
      <c r="G119" s="1" t="s">
        <v>2944</v>
      </c>
      <c r="H119" s="1" t="s">
        <v>3</v>
      </c>
    </row>
    <row r="120">
      <c r="A120" s="1" t="s">
        <v>355</v>
      </c>
      <c r="B120" s="1" t="s">
        <v>3039</v>
      </c>
      <c r="C120" s="1" t="s">
        <v>3298</v>
      </c>
      <c r="D120" s="1" t="s">
        <v>3207</v>
      </c>
      <c r="E120" s="1" t="s">
        <v>3067</v>
      </c>
      <c r="F120" s="1" t="s">
        <v>2776</v>
      </c>
      <c r="G120" s="1" t="s">
        <v>3070</v>
      </c>
      <c r="H120" s="1" t="s">
        <v>3</v>
      </c>
    </row>
    <row r="121">
      <c r="A121" s="1" t="s">
        <v>355</v>
      </c>
      <c r="B121" s="1" t="s">
        <v>3039</v>
      </c>
      <c r="C121" s="1" t="s">
        <v>3299</v>
      </c>
      <c r="D121" s="1" t="s">
        <v>223</v>
      </c>
      <c r="E121" s="1">
        <v>2.0</v>
      </c>
      <c r="F121" s="1">
        <v>1.0</v>
      </c>
      <c r="G121" s="1" t="s">
        <v>3169</v>
      </c>
      <c r="H121" s="1" t="s">
        <v>3</v>
      </c>
    </row>
    <row r="122">
      <c r="A122" s="1" t="s">
        <v>355</v>
      </c>
      <c r="B122" s="1" t="s">
        <v>3039</v>
      </c>
      <c r="C122" s="1" t="s">
        <v>3300</v>
      </c>
      <c r="D122" s="1" t="s">
        <v>3301</v>
      </c>
      <c r="E122" s="1" t="s">
        <v>3302</v>
      </c>
      <c r="F122" s="1" t="s">
        <v>3303</v>
      </c>
      <c r="G122" s="1" t="s">
        <v>3304</v>
      </c>
      <c r="H122" s="1" t="s">
        <v>3</v>
      </c>
    </row>
    <row r="123">
      <c r="A123" s="1" t="s">
        <v>355</v>
      </c>
      <c r="B123" s="1" t="s">
        <v>3039</v>
      </c>
      <c r="C123" s="1" t="s">
        <v>2812</v>
      </c>
      <c r="D123" s="1" t="s">
        <v>3041</v>
      </c>
      <c r="E123" s="1" t="s">
        <v>3042</v>
      </c>
      <c r="F123" s="1" t="s">
        <v>3043</v>
      </c>
      <c r="G123" s="1" t="s">
        <v>3044</v>
      </c>
      <c r="H123" s="1" t="s">
        <v>3</v>
      </c>
    </row>
    <row r="124">
      <c r="A124" s="1" t="s">
        <v>355</v>
      </c>
      <c r="B124" s="1" t="s">
        <v>3039</v>
      </c>
      <c r="C124" s="1" t="s">
        <v>3305</v>
      </c>
      <c r="D124" s="1" t="s">
        <v>3306</v>
      </c>
      <c r="E124" s="1" t="s">
        <v>3307</v>
      </c>
      <c r="F124" s="1" t="s">
        <v>2955</v>
      </c>
      <c r="G124" s="1" t="s">
        <v>22</v>
      </c>
      <c r="H124" s="1" t="s">
        <v>4</v>
      </c>
    </row>
    <row r="125">
      <c r="A125" s="1" t="s">
        <v>355</v>
      </c>
      <c r="B125" s="1" t="s">
        <v>3039</v>
      </c>
      <c r="C125" s="1" t="s">
        <v>3308</v>
      </c>
      <c r="D125" s="1" t="s">
        <v>2780</v>
      </c>
      <c r="E125" s="1" t="s">
        <v>2781</v>
      </c>
      <c r="F125" s="1" t="s">
        <v>2777</v>
      </c>
      <c r="G125" s="1" t="s">
        <v>2958</v>
      </c>
      <c r="H125" s="1" t="s">
        <v>3</v>
      </c>
    </row>
    <row r="126">
      <c r="A126" s="1" t="s">
        <v>355</v>
      </c>
      <c r="B126" s="1" t="s">
        <v>3039</v>
      </c>
      <c r="C126" s="1" t="s">
        <v>3309</v>
      </c>
      <c r="D126" s="1" t="s">
        <v>3310</v>
      </c>
      <c r="E126" s="1" t="s">
        <v>3311</v>
      </c>
      <c r="F126" s="1" t="s">
        <v>3312</v>
      </c>
      <c r="G126" s="1" t="s">
        <v>3313</v>
      </c>
      <c r="H126" s="1" t="s">
        <v>3</v>
      </c>
    </row>
    <row r="127">
      <c r="A127" s="1" t="s">
        <v>355</v>
      </c>
      <c r="B127" s="1" t="s">
        <v>3039</v>
      </c>
      <c r="C127" s="1" t="s">
        <v>3314</v>
      </c>
      <c r="D127" s="1">
        <v>1.0</v>
      </c>
      <c r="E127" s="1">
        <v>0.0</v>
      </c>
      <c r="F127" s="1" t="s">
        <v>2843</v>
      </c>
      <c r="G127" s="2">
        <v>46054.0</v>
      </c>
      <c r="H127" s="1" t="s">
        <v>4</v>
      </c>
    </row>
    <row r="128">
      <c r="A128" s="1" t="s">
        <v>355</v>
      </c>
      <c r="B128" s="1" t="s">
        <v>3039</v>
      </c>
      <c r="C128" s="1" t="s">
        <v>3315</v>
      </c>
      <c r="D128" s="1" t="s">
        <v>2929</v>
      </c>
      <c r="E128" s="1" t="s">
        <v>2951</v>
      </c>
      <c r="F128" s="1" t="s">
        <v>2931</v>
      </c>
      <c r="G128" s="1" t="s">
        <v>3076</v>
      </c>
      <c r="H128" s="1" t="s">
        <v>3</v>
      </c>
    </row>
    <row r="129">
      <c r="A129" s="1" t="s">
        <v>355</v>
      </c>
      <c r="B129" s="1" t="s">
        <v>3039</v>
      </c>
      <c r="C129" s="1" t="s">
        <v>3316</v>
      </c>
      <c r="D129" s="1" t="s">
        <v>3041</v>
      </c>
      <c r="E129" s="1" t="s">
        <v>3042</v>
      </c>
      <c r="F129" s="1" t="s">
        <v>3043</v>
      </c>
      <c r="G129" s="1" t="s">
        <v>3044</v>
      </c>
      <c r="H129" s="1" t="s">
        <v>5</v>
      </c>
    </row>
    <row r="130">
      <c r="A130" s="1" t="s">
        <v>355</v>
      </c>
      <c r="B130" s="1" t="s">
        <v>3039</v>
      </c>
      <c r="C130" s="1" t="s">
        <v>3317</v>
      </c>
      <c r="D130" s="1" t="s">
        <v>3318</v>
      </c>
      <c r="E130" s="1" t="s">
        <v>3077</v>
      </c>
      <c r="F130" s="1" t="s">
        <v>3319</v>
      </c>
      <c r="G130" s="1" t="s">
        <v>3320</v>
      </c>
      <c r="H130" s="1" t="s">
        <v>3</v>
      </c>
    </row>
    <row r="131">
      <c r="A131" s="1" t="s">
        <v>355</v>
      </c>
      <c r="B131" s="1" t="s">
        <v>3039</v>
      </c>
      <c r="C131" s="1" t="s">
        <v>3321</v>
      </c>
      <c r="D131" s="1">
        <v>1.0</v>
      </c>
      <c r="E131" s="1">
        <v>0.0</v>
      </c>
      <c r="F131" s="1">
        <v>2.0</v>
      </c>
      <c r="G131" s="2">
        <v>46054.0</v>
      </c>
      <c r="H131" s="1" t="s">
        <v>3</v>
      </c>
    </row>
    <row r="132">
      <c r="A132" s="1" t="s">
        <v>355</v>
      </c>
      <c r="B132" s="1" t="s">
        <v>3039</v>
      </c>
      <c r="C132" s="1" t="s">
        <v>3322</v>
      </c>
      <c r="D132" s="1" t="s">
        <v>3323</v>
      </c>
      <c r="E132" s="1" t="s">
        <v>2776</v>
      </c>
      <c r="F132" s="1" t="s">
        <v>1680</v>
      </c>
      <c r="G132" s="1" t="s">
        <v>2778</v>
      </c>
      <c r="H132" s="1" t="s">
        <v>3</v>
      </c>
    </row>
    <row r="133">
      <c r="A133" s="1" t="s">
        <v>355</v>
      </c>
      <c r="B133" s="1" t="s">
        <v>3039</v>
      </c>
      <c r="C133" s="1" t="s">
        <v>3324</v>
      </c>
      <c r="D133" s="1" t="s">
        <v>3139</v>
      </c>
      <c r="E133" s="1" t="s">
        <v>3262</v>
      </c>
      <c r="F133" s="1" t="s">
        <v>3140</v>
      </c>
      <c r="G133" s="1" t="s">
        <v>3264</v>
      </c>
      <c r="H133" s="1" t="s">
        <v>3</v>
      </c>
    </row>
    <row r="134">
      <c r="A134" s="1" t="s">
        <v>355</v>
      </c>
      <c r="B134" s="1" t="s">
        <v>3039</v>
      </c>
      <c r="C134" s="1" t="s">
        <v>3325</v>
      </c>
      <c r="D134" s="1">
        <v>1.0</v>
      </c>
      <c r="E134" s="1" t="s">
        <v>15</v>
      </c>
      <c r="F134" s="1" t="s">
        <v>2159</v>
      </c>
      <c r="G134" s="1">
        <v>0.0</v>
      </c>
      <c r="H134" s="1" t="s">
        <v>3</v>
      </c>
    </row>
    <row r="135">
      <c r="A135" s="1" t="s">
        <v>355</v>
      </c>
      <c r="B135" s="1" t="s">
        <v>3039</v>
      </c>
      <c r="C135" s="1" t="s">
        <v>3326</v>
      </c>
      <c r="D135" s="1" t="s">
        <v>3327</v>
      </c>
      <c r="E135" s="1" t="s">
        <v>2776</v>
      </c>
      <c r="F135" s="1" t="s">
        <v>1680</v>
      </c>
      <c r="G135" s="1" t="s">
        <v>3323</v>
      </c>
      <c r="H135" s="1" t="s">
        <v>3</v>
      </c>
    </row>
    <row r="136">
      <c r="A136" s="1" t="s">
        <v>355</v>
      </c>
      <c r="B136" s="1" t="s">
        <v>3039</v>
      </c>
      <c r="C136" s="1" t="s">
        <v>3328</v>
      </c>
      <c r="D136" s="1" t="s">
        <v>2933</v>
      </c>
      <c r="E136" s="1" t="s">
        <v>3329</v>
      </c>
      <c r="F136" s="1" t="s">
        <v>2958</v>
      </c>
      <c r="G136" s="1" t="s">
        <v>3090</v>
      </c>
      <c r="H136" s="1" t="s">
        <v>3</v>
      </c>
    </row>
    <row r="137">
      <c r="A137" s="1" t="s">
        <v>355</v>
      </c>
      <c r="B137" s="1" t="s">
        <v>3039</v>
      </c>
      <c r="C137" s="1" t="s">
        <v>3330</v>
      </c>
      <c r="D137" s="1" t="s">
        <v>2760</v>
      </c>
      <c r="E137" s="1" t="s">
        <v>3331</v>
      </c>
      <c r="F137" s="1" t="s">
        <v>3332</v>
      </c>
      <c r="G137" s="1">
        <v>1.0</v>
      </c>
      <c r="H137" s="1" t="s">
        <v>3</v>
      </c>
    </row>
    <row r="138">
      <c r="A138" s="1" t="s">
        <v>355</v>
      </c>
      <c r="B138" s="1" t="s">
        <v>3039</v>
      </c>
      <c r="C138" s="1" t="s">
        <v>3333</v>
      </c>
      <c r="D138" s="1" t="s">
        <v>3041</v>
      </c>
      <c r="E138" s="1" t="s">
        <v>3042</v>
      </c>
      <c r="F138" s="1" t="s">
        <v>3043</v>
      </c>
      <c r="G138" s="1" t="s">
        <v>3044</v>
      </c>
      <c r="H138" s="1" t="s">
        <v>5</v>
      </c>
    </row>
    <row r="139">
      <c r="A139" s="1" t="s">
        <v>355</v>
      </c>
      <c r="B139" s="1" t="s">
        <v>3039</v>
      </c>
      <c r="C139" s="1" t="s">
        <v>3334</v>
      </c>
      <c r="D139" s="1" t="s">
        <v>2781</v>
      </c>
      <c r="E139" s="1" t="s">
        <v>2780</v>
      </c>
      <c r="F139" s="1" t="s">
        <v>2958</v>
      </c>
      <c r="G139" s="1" t="s">
        <v>2777</v>
      </c>
      <c r="H139" s="1" t="s">
        <v>3</v>
      </c>
    </row>
    <row r="140">
      <c r="A140" s="1" t="s">
        <v>355</v>
      </c>
      <c r="B140" s="1" t="s">
        <v>3039</v>
      </c>
      <c r="C140" s="1" t="s">
        <v>3335</v>
      </c>
      <c r="D140" s="1">
        <v>0.0</v>
      </c>
      <c r="E140" s="1">
        <v>1.0</v>
      </c>
      <c r="F140" s="1">
        <v>2.0</v>
      </c>
      <c r="G140" s="1">
        <v>-1.0</v>
      </c>
      <c r="H140" s="1" t="s">
        <v>3</v>
      </c>
    </row>
    <row r="141">
      <c r="A141" s="1" t="s">
        <v>355</v>
      </c>
      <c r="B141" s="1" t="s">
        <v>3039</v>
      </c>
      <c r="C141" s="1" t="s">
        <v>3336</v>
      </c>
      <c r="D141" s="1" t="s">
        <v>3337</v>
      </c>
      <c r="E141" s="1" t="s">
        <v>3338</v>
      </c>
      <c r="F141" s="1" t="s">
        <v>3339</v>
      </c>
      <c r="G141" s="1" t="s">
        <v>3340</v>
      </c>
      <c r="H141" s="1" t="s">
        <v>5</v>
      </c>
    </row>
    <row r="142">
      <c r="A142" s="1" t="s">
        <v>355</v>
      </c>
      <c r="B142" s="1" t="s">
        <v>3039</v>
      </c>
      <c r="C142" s="1" t="s">
        <v>3341</v>
      </c>
      <c r="D142" s="1" t="s">
        <v>3342</v>
      </c>
      <c r="E142" s="1" t="s">
        <v>2931</v>
      </c>
      <c r="F142" s="1" t="s">
        <v>2929</v>
      </c>
      <c r="G142" s="1" t="s">
        <v>3076</v>
      </c>
      <c r="H142" s="1" t="s">
        <v>3</v>
      </c>
    </row>
    <row r="143">
      <c r="A143" s="1" t="s">
        <v>355</v>
      </c>
      <c r="B143" s="1" t="s">
        <v>3039</v>
      </c>
      <c r="C143" s="1" t="s">
        <v>3343</v>
      </c>
      <c r="D143" s="1">
        <v>1.0</v>
      </c>
      <c r="E143" s="1">
        <v>0.0</v>
      </c>
      <c r="F143" s="1" t="s">
        <v>2843</v>
      </c>
      <c r="G143" s="2">
        <v>46054.0</v>
      </c>
      <c r="H143" s="1" t="s">
        <v>3</v>
      </c>
    </row>
    <row r="144">
      <c r="A144" s="1" t="s">
        <v>355</v>
      </c>
      <c r="B144" s="1" t="s">
        <v>3039</v>
      </c>
      <c r="C144" s="1" t="s">
        <v>3344</v>
      </c>
      <c r="D144" s="1" t="s">
        <v>3307</v>
      </c>
      <c r="E144" s="1" t="s">
        <v>3306</v>
      </c>
      <c r="F144" s="1" t="s">
        <v>2955</v>
      </c>
      <c r="G144" s="1" t="s">
        <v>3345</v>
      </c>
      <c r="H144" s="1" t="s">
        <v>3</v>
      </c>
    </row>
    <row r="145">
      <c r="A145" s="1" t="s">
        <v>355</v>
      </c>
      <c r="B145" s="1" t="s">
        <v>3039</v>
      </c>
      <c r="C145" s="1" t="s">
        <v>3346</v>
      </c>
      <c r="D145" s="1" t="s">
        <v>3043</v>
      </c>
      <c r="E145" s="1" t="s">
        <v>3041</v>
      </c>
      <c r="F145" s="1" t="s">
        <v>3042</v>
      </c>
      <c r="G145" s="1" t="s">
        <v>3044</v>
      </c>
      <c r="H145" s="1" t="s">
        <v>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384</v>
      </c>
      <c r="C2" s="1" t="s">
        <v>3347</v>
      </c>
      <c r="D2" s="1">
        <v>1.0</v>
      </c>
      <c r="E2" s="9" t="s">
        <v>3348</v>
      </c>
      <c r="F2" s="9" t="s">
        <v>2155</v>
      </c>
      <c r="G2" s="1" t="s">
        <v>987</v>
      </c>
      <c r="H2" s="1" t="s">
        <v>6</v>
      </c>
    </row>
    <row r="3">
      <c r="A3" s="1" t="s">
        <v>8</v>
      </c>
      <c r="B3" s="1" t="s">
        <v>384</v>
      </c>
      <c r="C3" s="1" t="s">
        <v>3349</v>
      </c>
      <c r="D3" s="1">
        <v>1.0</v>
      </c>
      <c r="E3" s="9" t="s">
        <v>3348</v>
      </c>
      <c r="F3" s="9" t="s">
        <v>2154</v>
      </c>
      <c r="G3" s="1" t="s">
        <v>417</v>
      </c>
      <c r="H3" s="1" t="s">
        <v>3</v>
      </c>
    </row>
    <row r="4">
      <c r="A4" s="1" t="s">
        <v>8</v>
      </c>
      <c r="B4" s="1" t="s">
        <v>384</v>
      </c>
      <c r="C4" s="1" t="s">
        <v>3350</v>
      </c>
      <c r="D4" s="1" t="s">
        <v>2193</v>
      </c>
      <c r="E4" s="9" t="s">
        <v>3351</v>
      </c>
      <c r="F4" s="9" t="s">
        <v>3352</v>
      </c>
      <c r="G4" s="1" t="s">
        <v>22</v>
      </c>
      <c r="H4" s="1" t="s">
        <v>5</v>
      </c>
    </row>
    <row r="5">
      <c r="A5" s="1" t="s">
        <v>8</v>
      </c>
      <c r="B5" s="1" t="s">
        <v>384</v>
      </c>
      <c r="C5" s="1" t="s">
        <v>3353</v>
      </c>
      <c r="D5" s="1">
        <v>1.0</v>
      </c>
      <c r="E5" s="9" t="s">
        <v>3348</v>
      </c>
      <c r="F5" s="9" t="s">
        <v>2155</v>
      </c>
      <c r="G5" s="1">
        <v>4.0</v>
      </c>
      <c r="H5" s="1" t="s">
        <v>4</v>
      </c>
    </row>
    <row r="6">
      <c r="A6" s="1" t="s">
        <v>8</v>
      </c>
      <c r="B6" s="1" t="s">
        <v>384</v>
      </c>
      <c r="C6" s="1" t="s">
        <v>3354</v>
      </c>
      <c r="D6" s="1" t="s">
        <v>3355</v>
      </c>
      <c r="E6" s="9" t="s">
        <v>3356</v>
      </c>
      <c r="F6" s="9" t="s">
        <v>3351</v>
      </c>
      <c r="G6" s="1" t="s">
        <v>2192</v>
      </c>
      <c r="H6" s="1" t="s">
        <v>4</v>
      </c>
    </row>
    <row r="7">
      <c r="A7" s="1" t="s">
        <v>8</v>
      </c>
      <c r="B7" s="1" t="s">
        <v>384</v>
      </c>
      <c r="C7" s="1" t="s">
        <v>3357</v>
      </c>
      <c r="D7" s="1" t="s">
        <v>2163</v>
      </c>
      <c r="E7" s="9" t="s">
        <v>3358</v>
      </c>
      <c r="F7" s="9" t="s">
        <v>3359</v>
      </c>
      <c r="G7" s="1" t="s">
        <v>3360</v>
      </c>
      <c r="H7" s="1" t="s">
        <v>6</v>
      </c>
    </row>
    <row r="8">
      <c r="A8" s="1" t="s">
        <v>8</v>
      </c>
      <c r="B8" s="1" t="s">
        <v>384</v>
      </c>
      <c r="C8" s="1" t="s">
        <v>3361</v>
      </c>
      <c r="D8" s="1" t="s">
        <v>3362</v>
      </c>
      <c r="E8" s="9" t="s">
        <v>3363</v>
      </c>
      <c r="F8" s="9" t="s">
        <v>3364</v>
      </c>
      <c r="G8" s="1" t="s">
        <v>3365</v>
      </c>
      <c r="H8" s="1" t="s">
        <v>3</v>
      </c>
    </row>
    <row r="9">
      <c r="A9" s="1" t="s">
        <v>8</v>
      </c>
      <c r="B9" s="1" t="s">
        <v>384</v>
      </c>
      <c r="C9" s="1" t="s">
        <v>3366</v>
      </c>
      <c r="D9" s="1" t="s">
        <v>3043</v>
      </c>
      <c r="E9" s="9" t="s">
        <v>3367</v>
      </c>
      <c r="F9" s="9" t="s">
        <v>3368</v>
      </c>
      <c r="G9" s="1" t="s">
        <v>3044</v>
      </c>
      <c r="H9" s="1" t="s">
        <v>4</v>
      </c>
    </row>
    <row r="10">
      <c r="A10" s="1" t="s">
        <v>8</v>
      </c>
      <c r="B10" s="1" t="s">
        <v>384</v>
      </c>
      <c r="C10" s="1" t="s">
        <v>3369</v>
      </c>
      <c r="D10" s="1" t="s">
        <v>3370</v>
      </c>
      <c r="E10" s="9" t="s">
        <v>3043</v>
      </c>
      <c r="F10" s="9" t="s">
        <v>3367</v>
      </c>
      <c r="G10" s="1" t="s">
        <v>3368</v>
      </c>
      <c r="H10" s="1" t="s">
        <v>3</v>
      </c>
    </row>
    <row r="11">
      <c r="A11" s="1" t="s">
        <v>8</v>
      </c>
      <c r="B11" s="1" t="s">
        <v>384</v>
      </c>
      <c r="C11" s="1" t="s">
        <v>3371</v>
      </c>
      <c r="D11" s="1" t="s">
        <v>1975</v>
      </c>
      <c r="E11" s="9" t="s">
        <v>1509</v>
      </c>
      <c r="F11" s="9" t="s">
        <v>3372</v>
      </c>
      <c r="G11" s="1" t="s">
        <v>2080</v>
      </c>
      <c r="H11" s="1" t="s">
        <v>4</v>
      </c>
    </row>
    <row r="12">
      <c r="A12" s="1" t="s">
        <v>8</v>
      </c>
      <c r="B12" s="1" t="s">
        <v>384</v>
      </c>
      <c r="C12" s="1" t="s">
        <v>3373</v>
      </c>
      <c r="D12" s="1" t="s">
        <v>2146</v>
      </c>
      <c r="E12" s="9" t="s">
        <v>2147</v>
      </c>
      <c r="F12" s="9" t="s">
        <v>2163</v>
      </c>
      <c r="G12" s="1" t="s">
        <v>1904</v>
      </c>
      <c r="H12" s="1" t="s">
        <v>3</v>
      </c>
    </row>
    <row r="13">
      <c r="A13" s="1" t="s">
        <v>8</v>
      </c>
      <c r="B13" s="1" t="s">
        <v>384</v>
      </c>
      <c r="C13" s="1" t="s">
        <v>3374</v>
      </c>
      <c r="D13" s="1" t="s">
        <v>2164</v>
      </c>
      <c r="E13" s="9" t="s">
        <v>2146</v>
      </c>
      <c r="F13" s="9" t="s">
        <v>3375</v>
      </c>
      <c r="G13" s="1" t="s">
        <v>3376</v>
      </c>
      <c r="H13" s="1" t="s">
        <v>3</v>
      </c>
    </row>
    <row r="14">
      <c r="A14" s="1" t="s">
        <v>8</v>
      </c>
      <c r="B14" s="1" t="s">
        <v>384</v>
      </c>
      <c r="C14" s="1" t="s">
        <v>3377</v>
      </c>
      <c r="D14" s="1" t="s">
        <v>2172</v>
      </c>
      <c r="E14" s="9" t="s">
        <v>2163</v>
      </c>
      <c r="F14" s="9" t="s">
        <v>2146</v>
      </c>
      <c r="G14" s="1" t="s">
        <v>1904</v>
      </c>
      <c r="H14" s="1" t="s">
        <v>6</v>
      </c>
    </row>
    <row r="15">
      <c r="A15" s="1" t="s">
        <v>8</v>
      </c>
      <c r="B15" s="1" t="s">
        <v>384</v>
      </c>
      <c r="C15" s="1" t="s">
        <v>3378</v>
      </c>
      <c r="D15" s="1" t="s">
        <v>3379</v>
      </c>
      <c r="E15" s="9" t="s">
        <v>1905</v>
      </c>
      <c r="F15" s="9" t="s">
        <v>3380</v>
      </c>
      <c r="G15" s="1" t="s">
        <v>1906</v>
      </c>
      <c r="H15" s="1" t="s">
        <v>4</v>
      </c>
    </row>
    <row r="16">
      <c r="A16" s="1" t="s">
        <v>8</v>
      </c>
      <c r="B16" s="1" t="s">
        <v>384</v>
      </c>
      <c r="C16" s="1" t="s">
        <v>3381</v>
      </c>
      <c r="D16" s="1">
        <v>1.0</v>
      </c>
      <c r="E16" s="9" t="s">
        <v>3348</v>
      </c>
      <c r="F16" s="9" t="s">
        <v>2155</v>
      </c>
      <c r="G16" s="1" t="s">
        <v>474</v>
      </c>
      <c r="H16" s="1" t="s">
        <v>4</v>
      </c>
    </row>
    <row r="17">
      <c r="A17" s="1" t="s">
        <v>8</v>
      </c>
      <c r="B17" s="1" t="s">
        <v>384</v>
      </c>
      <c r="C17" s="1" t="s">
        <v>3382</v>
      </c>
      <c r="D17" s="1" t="s">
        <v>3370</v>
      </c>
      <c r="E17" s="9" t="s">
        <v>3383</v>
      </c>
      <c r="F17" s="9" t="s">
        <v>3044</v>
      </c>
      <c r="G17" s="1" t="s">
        <v>3384</v>
      </c>
      <c r="H17" s="1" t="s">
        <v>6</v>
      </c>
    </row>
    <row r="18">
      <c r="A18" s="1" t="s">
        <v>8</v>
      </c>
      <c r="B18" s="1" t="s">
        <v>384</v>
      </c>
      <c r="C18" s="1" t="s">
        <v>3385</v>
      </c>
      <c r="D18" s="1" t="s">
        <v>3041</v>
      </c>
      <c r="E18" s="9" t="s">
        <v>3043</v>
      </c>
      <c r="F18" s="9" t="s">
        <v>3073</v>
      </c>
      <c r="G18" s="1" t="s">
        <v>3044</v>
      </c>
      <c r="H18" s="1" t="s">
        <v>5</v>
      </c>
    </row>
    <row r="19">
      <c r="A19" s="1" t="s">
        <v>8</v>
      </c>
      <c r="B19" s="1" t="s">
        <v>384</v>
      </c>
      <c r="C19" s="1" t="s">
        <v>3386</v>
      </c>
      <c r="D19" s="1" t="s">
        <v>3387</v>
      </c>
      <c r="E19" s="9" t="s">
        <v>3388</v>
      </c>
      <c r="F19" s="9" t="s">
        <v>3389</v>
      </c>
      <c r="G19" s="1" t="s">
        <v>3390</v>
      </c>
      <c r="H19" s="1" t="s">
        <v>3</v>
      </c>
    </row>
    <row r="20">
      <c r="A20" s="1" t="s">
        <v>8</v>
      </c>
      <c r="B20" s="1" t="s">
        <v>384</v>
      </c>
      <c r="C20" s="1" t="s">
        <v>3391</v>
      </c>
      <c r="D20" s="1" t="s">
        <v>3392</v>
      </c>
      <c r="E20" s="9" t="s">
        <v>3393</v>
      </c>
      <c r="F20" s="9" t="s">
        <v>3394</v>
      </c>
      <c r="G20" s="6">
        <v>0.4263888888888889</v>
      </c>
      <c r="H20" s="1" t="s">
        <v>4</v>
      </c>
    </row>
    <row r="21">
      <c r="A21" s="1" t="s">
        <v>8</v>
      </c>
      <c r="B21" s="1" t="s">
        <v>384</v>
      </c>
      <c r="C21" s="1" t="s">
        <v>3395</v>
      </c>
      <c r="D21" s="1">
        <v>7.0</v>
      </c>
      <c r="E21" s="9" t="s">
        <v>2218</v>
      </c>
      <c r="F21" s="9" t="s">
        <v>3396</v>
      </c>
      <c r="G21" s="1">
        <v>28.0</v>
      </c>
      <c r="H21" s="1" t="s">
        <v>4</v>
      </c>
    </row>
    <row r="22">
      <c r="A22" s="1" t="s">
        <v>8</v>
      </c>
      <c r="B22" s="1" t="s">
        <v>384</v>
      </c>
      <c r="C22" s="1" t="s">
        <v>3397</v>
      </c>
      <c r="D22" s="1" t="s">
        <v>3398</v>
      </c>
      <c r="E22" s="9" t="s">
        <v>3399</v>
      </c>
      <c r="F22" s="9" t="s">
        <v>3400</v>
      </c>
      <c r="G22" s="1" t="s">
        <v>3401</v>
      </c>
      <c r="H22" s="1" t="s">
        <v>3</v>
      </c>
    </row>
    <row r="23">
      <c r="A23" s="1" t="s">
        <v>8</v>
      </c>
      <c r="B23" s="1" t="s">
        <v>384</v>
      </c>
      <c r="C23" s="1" t="s">
        <v>3402</v>
      </c>
      <c r="D23" s="1" t="s">
        <v>3403</v>
      </c>
      <c r="E23" s="9" t="s">
        <v>3404</v>
      </c>
      <c r="F23" s="9" t="s">
        <v>3405</v>
      </c>
      <c r="G23" s="1" t="s">
        <v>3406</v>
      </c>
      <c r="H23" s="1" t="s">
        <v>6</v>
      </c>
    </row>
    <row r="24">
      <c r="A24" s="1" t="s">
        <v>8</v>
      </c>
      <c r="B24" s="1" t="s">
        <v>384</v>
      </c>
      <c r="C24" s="1" t="s">
        <v>3407</v>
      </c>
      <c r="D24" s="1" t="s">
        <v>3408</v>
      </c>
      <c r="E24" s="9" t="s">
        <v>3409</v>
      </c>
      <c r="F24" s="9" t="s">
        <v>3410</v>
      </c>
      <c r="G24" s="1" t="s">
        <v>22</v>
      </c>
      <c r="H24" s="1" t="s">
        <v>3</v>
      </c>
    </row>
    <row r="25">
      <c r="A25" s="1" t="s">
        <v>8</v>
      </c>
      <c r="B25" s="1" t="s">
        <v>384</v>
      </c>
      <c r="C25" s="1" t="s">
        <v>3411</v>
      </c>
      <c r="D25" s="1" t="s">
        <v>3412</v>
      </c>
      <c r="E25" s="9" t="s">
        <v>3413</v>
      </c>
      <c r="F25" s="9" t="s">
        <v>3414</v>
      </c>
      <c r="G25" s="1" t="s">
        <v>3363</v>
      </c>
      <c r="H25" s="1" t="s">
        <v>4</v>
      </c>
    </row>
    <row r="26">
      <c r="A26" s="1" t="s">
        <v>8</v>
      </c>
      <c r="B26" s="1" t="s">
        <v>384</v>
      </c>
      <c r="C26" s="1" t="s">
        <v>3415</v>
      </c>
      <c r="D26" s="1" t="s">
        <v>1925</v>
      </c>
      <c r="E26" s="9" t="s">
        <v>1191</v>
      </c>
      <c r="F26" s="9" t="s">
        <v>938</v>
      </c>
      <c r="G26" s="1" t="s">
        <v>22</v>
      </c>
      <c r="H26" s="1" t="s">
        <v>4</v>
      </c>
    </row>
    <row r="27">
      <c r="A27" s="1" t="s">
        <v>8</v>
      </c>
      <c r="B27" s="1" t="s">
        <v>384</v>
      </c>
      <c r="C27" s="1" t="s">
        <v>3416</v>
      </c>
      <c r="D27" s="1" t="s">
        <v>3417</v>
      </c>
      <c r="E27" s="9" t="s">
        <v>3418</v>
      </c>
      <c r="F27" s="9" t="s">
        <v>3419</v>
      </c>
      <c r="G27" s="1" t="s">
        <v>3420</v>
      </c>
      <c r="H27" s="1" t="s">
        <v>5</v>
      </c>
    </row>
    <row r="28">
      <c r="A28" s="1" t="s">
        <v>8</v>
      </c>
      <c r="B28" s="1" t="s">
        <v>384</v>
      </c>
      <c r="C28" s="1" t="s">
        <v>3421</v>
      </c>
      <c r="D28" s="1" t="s">
        <v>3173</v>
      </c>
      <c r="E28" s="9" t="s">
        <v>3422</v>
      </c>
      <c r="F28" s="9" t="s">
        <v>1234</v>
      </c>
      <c r="G28" s="1" t="s">
        <v>22</v>
      </c>
      <c r="H28" s="1" t="s">
        <v>4</v>
      </c>
    </row>
    <row r="29">
      <c r="A29" s="1" t="s">
        <v>8</v>
      </c>
      <c r="B29" s="1" t="s">
        <v>384</v>
      </c>
      <c r="C29" s="1" t="s">
        <v>3423</v>
      </c>
      <c r="D29" s="1" t="s">
        <v>2648</v>
      </c>
      <c r="E29" s="9" t="s">
        <v>1927</v>
      </c>
      <c r="F29" s="9" t="s">
        <v>3424</v>
      </c>
      <c r="G29" s="1" t="s">
        <v>22</v>
      </c>
      <c r="H29" s="1" t="s">
        <v>5</v>
      </c>
    </row>
    <row r="30">
      <c r="A30" s="1" t="s">
        <v>8</v>
      </c>
      <c r="B30" s="1" t="s">
        <v>384</v>
      </c>
      <c r="C30" s="1" t="s">
        <v>3425</v>
      </c>
      <c r="D30" s="1" t="s">
        <v>3042</v>
      </c>
      <c r="E30" s="9" t="s">
        <v>3043</v>
      </c>
      <c r="F30" s="9" t="s">
        <v>3044</v>
      </c>
      <c r="G30" s="1" t="s">
        <v>3426</v>
      </c>
      <c r="H30" s="1" t="s">
        <v>5</v>
      </c>
    </row>
    <row r="31">
      <c r="A31" s="1" t="s">
        <v>8</v>
      </c>
      <c r="B31" s="1" t="s">
        <v>384</v>
      </c>
      <c r="C31" s="1" t="s">
        <v>3427</v>
      </c>
      <c r="D31" s="1">
        <v>0.0</v>
      </c>
      <c r="E31" s="9" t="s">
        <v>2181</v>
      </c>
      <c r="F31" s="9" t="s">
        <v>3348</v>
      </c>
      <c r="G31" s="1" t="s">
        <v>417</v>
      </c>
      <c r="H31" s="1" t="s">
        <v>3</v>
      </c>
    </row>
    <row r="32">
      <c r="A32" s="1" t="s">
        <v>8</v>
      </c>
      <c r="B32" s="1" t="s">
        <v>384</v>
      </c>
      <c r="C32" s="1" t="s">
        <v>3428</v>
      </c>
      <c r="D32" s="1">
        <v>0.0</v>
      </c>
      <c r="E32" s="9" t="s">
        <v>2181</v>
      </c>
      <c r="F32" s="9" t="s">
        <v>3348</v>
      </c>
      <c r="G32" s="1" t="s">
        <v>417</v>
      </c>
      <c r="H32" s="1" t="s">
        <v>4</v>
      </c>
    </row>
    <row r="33">
      <c r="A33" s="1" t="s">
        <v>8</v>
      </c>
      <c r="B33" s="1" t="s">
        <v>384</v>
      </c>
      <c r="C33" s="1" t="s">
        <v>3429</v>
      </c>
      <c r="D33" s="1">
        <v>1.0</v>
      </c>
      <c r="E33" s="9" t="s">
        <v>3348</v>
      </c>
      <c r="F33" s="9" t="s">
        <v>2155</v>
      </c>
      <c r="G33" s="1" t="s">
        <v>417</v>
      </c>
      <c r="H33" s="1" t="s">
        <v>4</v>
      </c>
    </row>
    <row r="34">
      <c r="A34" s="1" t="s">
        <v>8</v>
      </c>
      <c r="B34" s="1" t="s">
        <v>384</v>
      </c>
      <c r="C34" s="1" t="s">
        <v>3430</v>
      </c>
      <c r="D34" s="1" t="s">
        <v>3431</v>
      </c>
      <c r="E34" s="9" t="s">
        <v>3432</v>
      </c>
      <c r="F34" s="9" t="s">
        <v>3433</v>
      </c>
      <c r="G34" s="1" t="s">
        <v>3434</v>
      </c>
      <c r="H34" s="1" t="s">
        <v>6</v>
      </c>
    </row>
    <row r="35">
      <c r="A35" s="1" t="s">
        <v>8</v>
      </c>
      <c r="B35" s="1" t="s">
        <v>384</v>
      </c>
      <c r="C35" s="1" t="s">
        <v>3435</v>
      </c>
      <c r="D35" s="1" t="s">
        <v>3436</v>
      </c>
      <c r="E35" s="9" t="s">
        <v>3437</v>
      </c>
      <c r="F35" s="9" t="s">
        <v>3438</v>
      </c>
      <c r="G35" s="1" t="s">
        <v>3439</v>
      </c>
      <c r="H35" s="1" t="s">
        <v>4</v>
      </c>
    </row>
    <row r="36">
      <c r="A36" s="1" t="s">
        <v>8</v>
      </c>
      <c r="B36" s="1" t="s">
        <v>384</v>
      </c>
      <c r="C36" s="1" t="s">
        <v>3440</v>
      </c>
      <c r="D36" s="1" t="s">
        <v>3426</v>
      </c>
      <c r="E36" s="9" t="s">
        <v>3441</v>
      </c>
      <c r="F36" s="9" t="s">
        <v>3044</v>
      </c>
      <c r="G36" s="1" t="s">
        <v>3442</v>
      </c>
      <c r="H36" s="1" t="s">
        <v>4</v>
      </c>
    </row>
    <row r="37">
      <c r="A37" s="1" t="s">
        <v>8</v>
      </c>
      <c r="B37" s="1" t="s">
        <v>384</v>
      </c>
      <c r="C37" s="1" t="s">
        <v>3443</v>
      </c>
      <c r="D37" s="1" t="s">
        <v>3444</v>
      </c>
      <c r="E37" s="9" t="s">
        <v>3445</v>
      </c>
      <c r="F37" s="9" t="s">
        <v>3446</v>
      </c>
      <c r="G37" s="1" t="s">
        <v>3447</v>
      </c>
      <c r="H37" s="1" t="s">
        <v>3</v>
      </c>
    </row>
    <row r="38">
      <c r="A38" s="1" t="s">
        <v>8</v>
      </c>
      <c r="B38" s="1" t="s">
        <v>384</v>
      </c>
      <c r="C38" s="1" t="s">
        <v>3448</v>
      </c>
      <c r="D38" s="1" t="s">
        <v>1906</v>
      </c>
      <c r="E38" s="9" t="s">
        <v>1905</v>
      </c>
      <c r="F38" s="9" t="s">
        <v>2163</v>
      </c>
      <c r="G38" s="1" t="s">
        <v>2044</v>
      </c>
      <c r="H38" s="1" t="s">
        <v>6</v>
      </c>
    </row>
    <row r="39">
      <c r="A39" s="1" t="s">
        <v>8</v>
      </c>
      <c r="B39" s="1" t="s">
        <v>384</v>
      </c>
      <c r="C39" s="1" t="s">
        <v>3449</v>
      </c>
      <c r="D39" s="1" t="s">
        <v>2162</v>
      </c>
      <c r="E39" s="9" t="s">
        <v>3450</v>
      </c>
      <c r="F39" s="9" t="s">
        <v>3451</v>
      </c>
      <c r="G39" s="1" t="s">
        <v>22</v>
      </c>
      <c r="H39" s="1" t="s">
        <v>4</v>
      </c>
    </row>
    <row r="40">
      <c r="A40" s="1" t="s">
        <v>8</v>
      </c>
      <c r="B40" s="1" t="s">
        <v>384</v>
      </c>
      <c r="C40" s="1" t="s">
        <v>3452</v>
      </c>
      <c r="D40" s="1" t="s">
        <v>3453</v>
      </c>
      <c r="E40" s="9" t="s">
        <v>3454</v>
      </c>
      <c r="F40" s="9" t="s">
        <v>3455</v>
      </c>
      <c r="G40" s="1" t="s">
        <v>3456</v>
      </c>
      <c r="H40" s="1" t="s">
        <v>3</v>
      </c>
    </row>
    <row r="41">
      <c r="A41" s="1" t="s">
        <v>8</v>
      </c>
      <c r="B41" s="1" t="s">
        <v>384</v>
      </c>
      <c r="C41" s="1" t="s">
        <v>3457</v>
      </c>
      <c r="D41" s="1" t="s">
        <v>3351</v>
      </c>
      <c r="E41" s="9" t="s">
        <v>2193</v>
      </c>
      <c r="F41" s="9" t="s">
        <v>3458</v>
      </c>
      <c r="G41" s="1" t="s">
        <v>22</v>
      </c>
      <c r="H41" s="1" t="s">
        <v>3</v>
      </c>
    </row>
    <row r="42">
      <c r="A42" s="1" t="s">
        <v>8</v>
      </c>
      <c r="B42" s="1" t="s">
        <v>384</v>
      </c>
      <c r="C42" s="1" t="s">
        <v>3459</v>
      </c>
      <c r="D42" s="1" t="s">
        <v>3043</v>
      </c>
      <c r="E42" s="9" t="s">
        <v>3044</v>
      </c>
      <c r="F42" s="9" t="s">
        <v>3460</v>
      </c>
      <c r="G42" s="1" t="s">
        <v>3426</v>
      </c>
      <c r="H42" s="1" t="s">
        <v>4</v>
      </c>
    </row>
    <row r="43">
      <c r="A43" s="1" t="s">
        <v>8</v>
      </c>
      <c r="B43" s="1" t="s">
        <v>384</v>
      </c>
      <c r="C43" s="1" t="s">
        <v>3461</v>
      </c>
      <c r="D43" s="1" t="s">
        <v>2190</v>
      </c>
      <c r="E43" s="9" t="s">
        <v>2191</v>
      </c>
      <c r="F43" s="9" t="s">
        <v>2192</v>
      </c>
      <c r="G43" s="1" t="s">
        <v>22</v>
      </c>
      <c r="H43" s="1" t="s">
        <v>4</v>
      </c>
    </row>
    <row r="44">
      <c r="A44" s="1" t="s">
        <v>8</v>
      </c>
      <c r="B44" s="1" t="s">
        <v>384</v>
      </c>
      <c r="C44" s="1" t="s">
        <v>3462</v>
      </c>
      <c r="D44" s="1" t="s">
        <v>3463</v>
      </c>
      <c r="E44" s="9" t="s">
        <v>2477</v>
      </c>
      <c r="F44" s="9" t="s">
        <v>3464</v>
      </c>
      <c r="G44" s="1" t="s">
        <v>3465</v>
      </c>
      <c r="H44" s="1" t="s">
        <v>5</v>
      </c>
    </row>
    <row r="45">
      <c r="A45" s="1" t="s">
        <v>8</v>
      </c>
      <c r="B45" s="1" t="s">
        <v>384</v>
      </c>
      <c r="C45" s="1" t="s">
        <v>3466</v>
      </c>
      <c r="D45" s="1" t="s">
        <v>3467</v>
      </c>
      <c r="E45" s="9" t="s">
        <v>3468</v>
      </c>
      <c r="F45" s="9" t="s">
        <v>3469</v>
      </c>
      <c r="G45" s="1" t="s">
        <v>22</v>
      </c>
      <c r="H45" s="1" t="s">
        <v>3</v>
      </c>
    </row>
    <row r="46">
      <c r="A46" s="1" t="s">
        <v>8</v>
      </c>
      <c r="B46" s="1" t="s">
        <v>384</v>
      </c>
      <c r="C46" s="1" t="s">
        <v>3470</v>
      </c>
      <c r="D46" s="1" t="s">
        <v>3471</v>
      </c>
      <c r="E46" s="9" t="s">
        <v>3472</v>
      </c>
      <c r="F46" s="9" t="s">
        <v>3473</v>
      </c>
      <c r="G46" s="1" t="s">
        <v>3474</v>
      </c>
      <c r="H46" s="1" t="s">
        <v>3</v>
      </c>
    </row>
    <row r="47">
      <c r="A47" s="1" t="s">
        <v>8</v>
      </c>
      <c r="B47" s="1" t="s">
        <v>384</v>
      </c>
      <c r="C47" s="1" t="s">
        <v>3475</v>
      </c>
      <c r="D47" s="1">
        <v>1.0</v>
      </c>
      <c r="E47" s="9" t="s">
        <v>3348</v>
      </c>
      <c r="F47" s="9" t="s">
        <v>2262</v>
      </c>
      <c r="G47" s="1" t="s">
        <v>417</v>
      </c>
      <c r="H47" s="1" t="s">
        <v>5</v>
      </c>
    </row>
    <row r="48">
      <c r="A48" s="1" t="s">
        <v>8</v>
      </c>
      <c r="B48" s="1" t="s">
        <v>384</v>
      </c>
      <c r="C48" s="1" t="s">
        <v>3476</v>
      </c>
      <c r="D48" s="1" t="s">
        <v>1975</v>
      </c>
      <c r="E48" s="9" t="s">
        <v>1509</v>
      </c>
      <c r="F48" s="9" t="s">
        <v>3372</v>
      </c>
      <c r="G48" s="1" t="s">
        <v>2080</v>
      </c>
      <c r="H48" s="1" t="s">
        <v>4</v>
      </c>
    </row>
    <row r="49">
      <c r="A49" s="1" t="s">
        <v>8</v>
      </c>
      <c r="B49" s="1" t="s">
        <v>384</v>
      </c>
      <c r="C49" s="1" t="s">
        <v>3477</v>
      </c>
      <c r="D49" s="1" t="s">
        <v>3044</v>
      </c>
      <c r="E49" s="9" t="s">
        <v>3426</v>
      </c>
      <c r="F49" s="9" t="s">
        <v>3478</v>
      </c>
      <c r="G49" s="1" t="s">
        <v>3441</v>
      </c>
      <c r="H49" s="1" t="s">
        <v>5</v>
      </c>
    </row>
    <row r="50">
      <c r="A50" s="1" t="s">
        <v>8</v>
      </c>
      <c r="B50" s="1" t="s">
        <v>384</v>
      </c>
      <c r="C50" s="1" t="s">
        <v>3479</v>
      </c>
      <c r="D50" s="1" t="s">
        <v>3480</v>
      </c>
      <c r="E50" s="9" t="s">
        <v>3481</v>
      </c>
      <c r="F50" s="9" t="s">
        <v>1904</v>
      </c>
      <c r="G50" s="1" t="s">
        <v>2044</v>
      </c>
      <c r="H50" s="1" t="s">
        <v>5</v>
      </c>
    </row>
    <row r="51">
      <c r="A51" s="1" t="s">
        <v>8</v>
      </c>
      <c r="B51" s="1" t="s">
        <v>384</v>
      </c>
      <c r="C51" s="1" t="s">
        <v>3482</v>
      </c>
      <c r="D51" s="1" t="s">
        <v>3370</v>
      </c>
      <c r="E51" s="9" t="s">
        <v>3043</v>
      </c>
      <c r="F51" s="9" t="s">
        <v>3367</v>
      </c>
      <c r="G51" s="1" t="s">
        <v>3368</v>
      </c>
      <c r="H51" s="1" t="s">
        <v>3</v>
      </c>
    </row>
    <row r="52">
      <c r="A52" s="1" t="s">
        <v>8</v>
      </c>
      <c r="B52" s="1" t="s">
        <v>384</v>
      </c>
      <c r="C52" s="1" t="s">
        <v>3483</v>
      </c>
      <c r="D52" s="1" t="s">
        <v>3042</v>
      </c>
      <c r="E52" s="9" t="s">
        <v>3044</v>
      </c>
      <c r="F52" s="9" t="s">
        <v>3043</v>
      </c>
      <c r="G52" s="1" t="s">
        <v>3426</v>
      </c>
      <c r="H52" s="1" t="s">
        <v>4</v>
      </c>
    </row>
    <row r="53">
      <c r="A53" s="1" t="s">
        <v>8</v>
      </c>
      <c r="B53" s="1" t="s">
        <v>384</v>
      </c>
      <c r="C53" s="1" t="s">
        <v>3484</v>
      </c>
      <c r="D53" s="1" t="s">
        <v>1925</v>
      </c>
      <c r="E53" s="9" t="s">
        <v>938</v>
      </c>
      <c r="F53" s="9" t="s">
        <v>1191</v>
      </c>
      <c r="G53" s="1" t="s">
        <v>22</v>
      </c>
      <c r="H53" s="1" t="s">
        <v>5</v>
      </c>
    </row>
    <row r="54">
      <c r="A54" s="1" t="s">
        <v>8</v>
      </c>
      <c r="B54" s="1" t="s">
        <v>384</v>
      </c>
      <c r="C54" s="1" t="s">
        <v>3485</v>
      </c>
      <c r="D54" s="1" t="s">
        <v>3486</v>
      </c>
      <c r="E54" s="9" t="s">
        <v>3487</v>
      </c>
      <c r="F54" s="9" t="s">
        <v>3488</v>
      </c>
      <c r="G54" s="1" t="s">
        <v>3489</v>
      </c>
      <c r="H54" s="1" t="s">
        <v>4</v>
      </c>
    </row>
    <row r="55">
      <c r="A55" s="1" t="s">
        <v>8</v>
      </c>
      <c r="B55" s="1" t="s">
        <v>384</v>
      </c>
      <c r="C55" s="1" t="s">
        <v>3490</v>
      </c>
      <c r="D55" s="1" t="s">
        <v>3491</v>
      </c>
      <c r="E55" s="9" t="s">
        <v>2147</v>
      </c>
      <c r="F55" s="9" t="s">
        <v>3492</v>
      </c>
      <c r="G55" s="1" t="s">
        <v>1905</v>
      </c>
      <c r="H55" s="1" t="s">
        <v>3</v>
      </c>
    </row>
    <row r="56">
      <c r="A56" s="1" t="s">
        <v>8</v>
      </c>
      <c r="B56" s="1" t="s">
        <v>384</v>
      </c>
      <c r="C56" s="1" t="s">
        <v>3493</v>
      </c>
      <c r="D56" s="1" t="s">
        <v>3494</v>
      </c>
      <c r="E56" s="9" t="s">
        <v>2147</v>
      </c>
      <c r="F56" s="9" t="s">
        <v>3480</v>
      </c>
      <c r="G56" s="1" t="s">
        <v>3495</v>
      </c>
      <c r="H56" s="1" t="s">
        <v>4</v>
      </c>
    </row>
    <row r="57">
      <c r="A57" s="1" t="s">
        <v>8</v>
      </c>
      <c r="B57" s="1" t="s">
        <v>384</v>
      </c>
      <c r="C57" s="1" t="s">
        <v>3496</v>
      </c>
      <c r="D57" s="1" t="s">
        <v>3497</v>
      </c>
      <c r="E57" s="9" t="s">
        <v>3498</v>
      </c>
      <c r="F57" s="9" t="s">
        <v>3499</v>
      </c>
      <c r="G57" s="1" t="s">
        <v>3500</v>
      </c>
      <c r="H57" s="1" t="s">
        <v>3</v>
      </c>
    </row>
    <row r="58">
      <c r="A58" s="1" t="s">
        <v>8</v>
      </c>
      <c r="B58" s="1" t="s">
        <v>384</v>
      </c>
      <c r="C58" s="1" t="s">
        <v>3501</v>
      </c>
      <c r="D58" s="1" t="s">
        <v>3502</v>
      </c>
      <c r="E58" s="9" t="s">
        <v>3503</v>
      </c>
      <c r="F58" s="9" t="s">
        <v>3504</v>
      </c>
      <c r="G58" s="1" t="s">
        <v>3505</v>
      </c>
      <c r="H58" s="1" t="s">
        <v>4</v>
      </c>
    </row>
    <row r="59">
      <c r="A59" s="1" t="s">
        <v>8</v>
      </c>
      <c r="B59" s="1" t="s">
        <v>384</v>
      </c>
      <c r="C59" s="1" t="s">
        <v>3506</v>
      </c>
      <c r="D59" s="1" t="s">
        <v>3431</v>
      </c>
      <c r="E59" s="9" t="s">
        <v>3432</v>
      </c>
      <c r="F59" s="9" t="s">
        <v>3433</v>
      </c>
      <c r="G59" s="1" t="s">
        <v>3434</v>
      </c>
      <c r="H59" s="1" t="s">
        <v>6</v>
      </c>
    </row>
    <row r="60">
      <c r="A60" s="1" t="s">
        <v>8</v>
      </c>
      <c r="B60" s="1" t="s">
        <v>384</v>
      </c>
      <c r="C60" s="1" t="s">
        <v>3507</v>
      </c>
      <c r="D60" s="1" t="s">
        <v>1904</v>
      </c>
      <c r="E60" s="9" t="s">
        <v>1906</v>
      </c>
      <c r="F60" s="9" t="s">
        <v>2146</v>
      </c>
      <c r="G60" s="1" t="s">
        <v>2147</v>
      </c>
      <c r="H60" s="1" t="s">
        <v>5</v>
      </c>
    </row>
    <row r="61">
      <c r="A61" s="1" t="s">
        <v>8</v>
      </c>
      <c r="B61" s="1" t="s">
        <v>384</v>
      </c>
      <c r="C61" s="1" t="s">
        <v>3508</v>
      </c>
      <c r="D61" s="1" t="s">
        <v>2648</v>
      </c>
      <c r="E61" s="9" t="s">
        <v>1927</v>
      </c>
      <c r="F61" s="9" t="s">
        <v>2650</v>
      </c>
      <c r="G61" s="1" t="s">
        <v>3509</v>
      </c>
      <c r="H61" s="1" t="s">
        <v>6</v>
      </c>
    </row>
    <row r="62">
      <c r="A62" s="1" t="s">
        <v>8</v>
      </c>
      <c r="B62" s="1" t="s">
        <v>384</v>
      </c>
      <c r="C62" s="1" t="s">
        <v>3510</v>
      </c>
      <c r="D62" s="1" t="s">
        <v>3511</v>
      </c>
      <c r="E62" s="9" t="s">
        <v>3042</v>
      </c>
      <c r="F62" s="9" t="s">
        <v>3512</v>
      </c>
      <c r="G62" s="1" t="s">
        <v>3043</v>
      </c>
      <c r="H62" s="1" t="s">
        <v>3</v>
      </c>
    </row>
    <row r="63">
      <c r="A63" s="1" t="s">
        <v>8</v>
      </c>
      <c r="B63" s="1" t="s">
        <v>384</v>
      </c>
      <c r="C63" s="1" t="s">
        <v>3513</v>
      </c>
      <c r="D63" s="1" t="s">
        <v>3514</v>
      </c>
      <c r="E63" s="9" t="s">
        <v>3515</v>
      </c>
      <c r="F63" s="9" t="s">
        <v>3516</v>
      </c>
      <c r="G63" s="1" t="s">
        <v>3517</v>
      </c>
      <c r="H63" s="1" t="s">
        <v>4</v>
      </c>
    </row>
    <row r="64">
      <c r="A64" s="1" t="s">
        <v>8</v>
      </c>
      <c r="B64" s="1" t="s">
        <v>384</v>
      </c>
      <c r="C64" s="1" t="s">
        <v>3518</v>
      </c>
      <c r="D64" s="1" t="s">
        <v>3519</v>
      </c>
      <c r="E64" s="9" t="s">
        <v>3520</v>
      </c>
      <c r="F64" s="9" t="s">
        <v>3521</v>
      </c>
      <c r="G64" s="1" t="s">
        <v>3499</v>
      </c>
      <c r="H64" s="1" t="s">
        <v>3</v>
      </c>
    </row>
    <row r="65">
      <c r="A65" s="1" t="s">
        <v>8</v>
      </c>
      <c r="B65" s="1" t="s">
        <v>384</v>
      </c>
      <c r="C65" s="1" t="s">
        <v>3522</v>
      </c>
      <c r="D65" s="1" t="s">
        <v>3523</v>
      </c>
      <c r="E65" s="9" t="s">
        <v>3499</v>
      </c>
      <c r="F65" s="9" t="s">
        <v>3524</v>
      </c>
      <c r="G65" s="1" t="s">
        <v>3525</v>
      </c>
      <c r="H65" s="1" t="s">
        <v>3</v>
      </c>
    </row>
    <row r="66">
      <c r="A66" s="1" t="s">
        <v>8</v>
      </c>
      <c r="B66" s="1" t="s">
        <v>384</v>
      </c>
      <c r="C66" s="1" t="s">
        <v>3526</v>
      </c>
      <c r="D66" s="1" t="s">
        <v>2238</v>
      </c>
      <c r="E66" s="9" t="s">
        <v>2094</v>
      </c>
      <c r="F66" s="9" t="s">
        <v>2096</v>
      </c>
      <c r="G66" s="1" t="s">
        <v>3527</v>
      </c>
      <c r="H66" s="1" t="s">
        <v>4</v>
      </c>
    </row>
    <row r="67">
      <c r="A67" s="1" t="s">
        <v>8</v>
      </c>
      <c r="B67" s="1" t="s">
        <v>384</v>
      </c>
      <c r="C67" s="1" t="s">
        <v>3528</v>
      </c>
      <c r="D67" s="1" t="s">
        <v>2096</v>
      </c>
      <c r="E67" s="9" t="s">
        <v>2237</v>
      </c>
      <c r="F67" s="9" t="s">
        <v>2238</v>
      </c>
      <c r="G67" s="1" t="s">
        <v>2094</v>
      </c>
      <c r="H67" s="1" t="s">
        <v>4</v>
      </c>
    </row>
    <row r="68">
      <c r="A68" s="1" t="s">
        <v>8</v>
      </c>
      <c r="B68" s="1" t="s">
        <v>384</v>
      </c>
      <c r="C68" s="1" t="s">
        <v>2189</v>
      </c>
      <c r="D68" s="1" t="s">
        <v>2192</v>
      </c>
      <c r="E68" s="9" t="s">
        <v>2190</v>
      </c>
      <c r="F68" s="9" t="s">
        <v>2191</v>
      </c>
      <c r="G68" s="1" t="s">
        <v>22</v>
      </c>
      <c r="H68" s="1" t="s">
        <v>5</v>
      </c>
    </row>
    <row r="69">
      <c r="A69" s="1" t="s">
        <v>8</v>
      </c>
      <c r="B69" s="1" t="s">
        <v>384</v>
      </c>
      <c r="C69" s="1" t="s">
        <v>3529</v>
      </c>
      <c r="D69" s="1" t="s">
        <v>3406</v>
      </c>
      <c r="E69" s="9" t="s">
        <v>3405</v>
      </c>
      <c r="F69" s="9" t="s">
        <v>3403</v>
      </c>
      <c r="G69" s="1" t="s">
        <v>3404</v>
      </c>
      <c r="H69" s="1" t="s">
        <v>4</v>
      </c>
    </row>
    <row r="70">
      <c r="A70" s="1" t="s">
        <v>8</v>
      </c>
      <c r="B70" s="1" t="s">
        <v>384</v>
      </c>
      <c r="C70" s="1" t="s">
        <v>3530</v>
      </c>
      <c r="D70" s="1" t="s">
        <v>3531</v>
      </c>
      <c r="E70" s="9" t="s">
        <v>3532</v>
      </c>
      <c r="F70" s="9" t="s">
        <v>3533</v>
      </c>
      <c r="G70" s="1" t="s">
        <v>3534</v>
      </c>
      <c r="H70" s="1" t="s">
        <v>3</v>
      </c>
    </row>
    <row r="71">
      <c r="A71" s="1" t="s">
        <v>8</v>
      </c>
      <c r="B71" s="1" t="s">
        <v>384</v>
      </c>
      <c r="C71" s="1" t="s">
        <v>3535</v>
      </c>
      <c r="D71" s="1">
        <v>140.0</v>
      </c>
      <c r="E71" s="9" t="s">
        <v>3536</v>
      </c>
      <c r="F71" s="9" t="s">
        <v>3537</v>
      </c>
      <c r="G71" s="1">
        <v>166.0</v>
      </c>
      <c r="H71" s="1" t="s">
        <v>3</v>
      </c>
    </row>
    <row r="72">
      <c r="A72" s="1" t="s">
        <v>8</v>
      </c>
      <c r="B72" s="1" t="s">
        <v>384</v>
      </c>
      <c r="C72" s="1" t="s">
        <v>3538</v>
      </c>
      <c r="D72" s="1" t="s">
        <v>3398</v>
      </c>
      <c r="E72" s="9" t="s">
        <v>3399</v>
      </c>
      <c r="F72" s="9" t="s">
        <v>3400</v>
      </c>
      <c r="G72" s="1" t="s">
        <v>3401</v>
      </c>
      <c r="H72" s="1" t="s">
        <v>5</v>
      </c>
    </row>
    <row r="73">
      <c r="A73" s="1" t="s">
        <v>8</v>
      </c>
      <c r="B73" s="1" t="s">
        <v>384</v>
      </c>
      <c r="C73" s="1" t="s">
        <v>3539</v>
      </c>
      <c r="D73" s="1">
        <v>1.0</v>
      </c>
      <c r="E73" s="9" t="s">
        <v>3348</v>
      </c>
      <c r="F73" s="9" t="s">
        <v>2155</v>
      </c>
      <c r="G73" s="1">
        <v>0.0</v>
      </c>
      <c r="H73" s="1" t="s">
        <v>4</v>
      </c>
    </row>
    <row r="74">
      <c r="A74" s="1" t="s">
        <v>8</v>
      </c>
      <c r="B74" s="1" t="s">
        <v>384</v>
      </c>
      <c r="C74" s="1" t="s">
        <v>3540</v>
      </c>
      <c r="D74" s="1">
        <v>1.0</v>
      </c>
      <c r="E74" s="9" t="s">
        <v>3348</v>
      </c>
      <c r="F74" s="9" t="s">
        <v>2155</v>
      </c>
      <c r="G74" s="1" t="s">
        <v>417</v>
      </c>
      <c r="H74" s="1" t="s">
        <v>4</v>
      </c>
    </row>
    <row r="75">
      <c r="A75" s="1" t="s">
        <v>8</v>
      </c>
      <c r="B75" s="1" t="s">
        <v>384</v>
      </c>
      <c r="C75" s="1" t="s">
        <v>3541</v>
      </c>
      <c r="D75" s="1" t="s">
        <v>3173</v>
      </c>
      <c r="E75" s="9" t="s">
        <v>3422</v>
      </c>
      <c r="F75" s="9" t="s">
        <v>1509</v>
      </c>
      <c r="G75" s="1" t="s">
        <v>22</v>
      </c>
      <c r="H75" s="1" t="s">
        <v>4</v>
      </c>
    </row>
    <row r="76">
      <c r="A76" s="1" t="s">
        <v>8</v>
      </c>
      <c r="B76" s="1" t="s">
        <v>384</v>
      </c>
      <c r="C76" s="1" t="s">
        <v>3542</v>
      </c>
      <c r="D76" s="1" t="s">
        <v>3543</v>
      </c>
      <c r="E76" s="9" t="s">
        <v>2273</v>
      </c>
      <c r="F76" s="9" t="s">
        <v>3544</v>
      </c>
      <c r="G76" s="1" t="s">
        <v>22</v>
      </c>
      <c r="H76" s="1" t="s">
        <v>3</v>
      </c>
    </row>
    <row r="77">
      <c r="A77" s="1" t="s">
        <v>8</v>
      </c>
      <c r="B77" s="1" t="s">
        <v>384</v>
      </c>
      <c r="C77" s="1" t="s">
        <v>3545</v>
      </c>
      <c r="D77" s="1" t="s">
        <v>3043</v>
      </c>
      <c r="E77" s="9" t="s">
        <v>3044</v>
      </c>
      <c r="F77" s="9" t="s">
        <v>3426</v>
      </c>
      <c r="G77" s="1" t="s">
        <v>3478</v>
      </c>
      <c r="H77" s="1" t="s">
        <v>4</v>
      </c>
    </row>
    <row r="78">
      <c r="A78" s="1" t="s">
        <v>8</v>
      </c>
      <c r="B78" s="1" t="s">
        <v>384</v>
      </c>
      <c r="C78" s="1" t="s">
        <v>3546</v>
      </c>
      <c r="D78" s="1" t="s">
        <v>1552</v>
      </c>
      <c r="E78" s="9" t="s">
        <v>1932</v>
      </c>
      <c r="F78" s="9" t="s">
        <v>3547</v>
      </c>
      <c r="G78" s="1" t="s">
        <v>3548</v>
      </c>
      <c r="H78" s="1" t="s">
        <v>4</v>
      </c>
    </row>
    <row r="79">
      <c r="A79" s="1" t="s">
        <v>8</v>
      </c>
      <c r="B79" s="1" t="s">
        <v>384</v>
      </c>
      <c r="C79" s="1" t="s">
        <v>3549</v>
      </c>
      <c r="D79" s="1" t="s">
        <v>3499</v>
      </c>
      <c r="E79" s="9" t="s">
        <v>3550</v>
      </c>
      <c r="F79" s="9" t="s">
        <v>3524</v>
      </c>
      <c r="G79" s="1" t="s">
        <v>3498</v>
      </c>
      <c r="H79" s="1" t="s">
        <v>3</v>
      </c>
    </row>
    <row r="80">
      <c r="A80" s="1" t="s">
        <v>8</v>
      </c>
      <c r="B80" s="1" t="s">
        <v>384</v>
      </c>
      <c r="C80" s="1" t="s">
        <v>3551</v>
      </c>
      <c r="D80" s="1" t="s">
        <v>2162</v>
      </c>
      <c r="E80" s="9" t="s">
        <v>3494</v>
      </c>
      <c r="F80" s="9" t="s">
        <v>3436</v>
      </c>
      <c r="G80" s="1" t="s">
        <v>3491</v>
      </c>
      <c r="H80" s="1" t="s">
        <v>3</v>
      </c>
    </row>
    <row r="81">
      <c r="A81" s="1" t="s">
        <v>8</v>
      </c>
      <c r="B81" s="1" t="s">
        <v>384</v>
      </c>
      <c r="C81" s="1" t="s">
        <v>3552</v>
      </c>
      <c r="D81" s="1" t="s">
        <v>3553</v>
      </c>
      <c r="E81" s="9" t="s">
        <v>3554</v>
      </c>
      <c r="F81" s="9" t="s">
        <v>3555</v>
      </c>
      <c r="G81" s="6">
        <v>0.5111111111111111</v>
      </c>
      <c r="H81" s="1" t="s">
        <v>4</v>
      </c>
    </row>
    <row r="82">
      <c r="A82" s="1" t="s">
        <v>8</v>
      </c>
      <c r="B82" s="1" t="s">
        <v>384</v>
      </c>
      <c r="C82" s="1" t="s">
        <v>3556</v>
      </c>
      <c r="D82" s="1" t="s">
        <v>3351</v>
      </c>
      <c r="E82" s="9" t="s">
        <v>3352</v>
      </c>
      <c r="F82" s="9" t="s">
        <v>2193</v>
      </c>
      <c r="G82" s="1" t="s">
        <v>22</v>
      </c>
      <c r="H82" s="1" t="s">
        <v>5</v>
      </c>
    </row>
    <row r="83">
      <c r="A83" s="1" t="s">
        <v>8</v>
      </c>
      <c r="B83" s="1" t="s">
        <v>384</v>
      </c>
      <c r="C83" s="1" t="s">
        <v>3557</v>
      </c>
      <c r="D83" s="1" t="s">
        <v>2190</v>
      </c>
      <c r="E83" s="9" t="s">
        <v>2191</v>
      </c>
      <c r="F83" s="9" t="s">
        <v>3355</v>
      </c>
      <c r="G83" s="1" t="s">
        <v>3558</v>
      </c>
      <c r="H83" s="1" t="s">
        <v>5</v>
      </c>
    </row>
    <row r="84">
      <c r="A84" s="1" t="s">
        <v>8</v>
      </c>
      <c r="B84" s="1" t="s">
        <v>384</v>
      </c>
      <c r="C84" s="1" t="s">
        <v>3559</v>
      </c>
      <c r="D84" s="1" t="s">
        <v>3439</v>
      </c>
      <c r="E84" s="9" t="s">
        <v>3437</v>
      </c>
      <c r="F84" s="9" t="s">
        <v>3560</v>
      </c>
      <c r="G84" s="1" t="s">
        <v>3561</v>
      </c>
      <c r="H84" s="1" t="s">
        <v>4</v>
      </c>
    </row>
    <row r="85">
      <c r="A85" s="1" t="s">
        <v>8</v>
      </c>
      <c r="B85" s="1" t="s">
        <v>384</v>
      </c>
      <c r="C85" s="1" t="s">
        <v>3562</v>
      </c>
      <c r="D85" s="1" t="s">
        <v>3563</v>
      </c>
      <c r="E85" s="9" t="s">
        <v>3408</v>
      </c>
      <c r="F85" s="9" t="s">
        <v>3410</v>
      </c>
      <c r="G85" s="1" t="s">
        <v>3409</v>
      </c>
      <c r="H85" s="1" t="s">
        <v>4</v>
      </c>
    </row>
    <row r="86">
      <c r="A86" s="1" t="s">
        <v>8</v>
      </c>
      <c r="B86" s="1" t="s">
        <v>384</v>
      </c>
      <c r="C86" s="1" t="s">
        <v>3564</v>
      </c>
      <c r="D86" s="1" t="s">
        <v>3565</v>
      </c>
      <c r="E86" s="9" t="s">
        <v>3042</v>
      </c>
      <c r="F86" s="9" t="s">
        <v>3044</v>
      </c>
      <c r="G86" s="1" t="s">
        <v>3426</v>
      </c>
      <c r="H86" s="1" t="s">
        <v>5</v>
      </c>
    </row>
    <row r="87">
      <c r="A87" s="1" t="s">
        <v>8</v>
      </c>
      <c r="B87" s="1" t="s">
        <v>384</v>
      </c>
      <c r="C87" s="1" t="s">
        <v>3566</v>
      </c>
      <c r="D87" s="1">
        <v>1.0</v>
      </c>
      <c r="E87" s="9" t="s">
        <v>3348</v>
      </c>
      <c r="F87" s="9" t="s">
        <v>2155</v>
      </c>
      <c r="G87" s="1">
        <v>4.0</v>
      </c>
      <c r="H87" s="1" t="s">
        <v>5</v>
      </c>
    </row>
    <row r="88">
      <c r="A88" s="1" t="s">
        <v>8</v>
      </c>
      <c r="B88" s="1" t="s">
        <v>384</v>
      </c>
      <c r="C88" s="1" t="s">
        <v>3567</v>
      </c>
      <c r="D88" s="1" t="s">
        <v>3437</v>
      </c>
      <c r="E88" s="9" t="s">
        <v>3561</v>
      </c>
      <c r="F88" s="9" t="s">
        <v>3568</v>
      </c>
      <c r="G88" s="1" t="s">
        <v>3569</v>
      </c>
      <c r="H88" s="1" t="s">
        <v>4</v>
      </c>
    </row>
    <row r="89">
      <c r="A89" s="1" t="s">
        <v>8</v>
      </c>
      <c r="B89" s="1" t="s">
        <v>384</v>
      </c>
      <c r="C89" s="1" t="s">
        <v>3570</v>
      </c>
      <c r="D89" s="1" t="s">
        <v>3376</v>
      </c>
      <c r="E89" s="9" t="s">
        <v>3571</v>
      </c>
      <c r="F89" s="9" t="s">
        <v>3572</v>
      </c>
      <c r="G89" s="1" t="s">
        <v>1907</v>
      </c>
      <c r="H89" s="1" t="s">
        <v>3</v>
      </c>
    </row>
    <row r="90">
      <c r="A90" s="1" t="s">
        <v>8</v>
      </c>
      <c r="B90" s="1" t="s">
        <v>384</v>
      </c>
      <c r="C90" s="1" t="s">
        <v>3573</v>
      </c>
      <c r="D90" s="1" t="s">
        <v>2044</v>
      </c>
      <c r="E90" s="9" t="s">
        <v>1906</v>
      </c>
      <c r="F90" s="9" t="s">
        <v>2162</v>
      </c>
      <c r="G90" s="1" t="s">
        <v>1905</v>
      </c>
      <c r="H90" s="1" t="s">
        <v>3</v>
      </c>
    </row>
    <row r="91">
      <c r="A91" s="1" t="s">
        <v>8</v>
      </c>
      <c r="B91" s="1" t="s">
        <v>384</v>
      </c>
      <c r="C91" s="1" t="s">
        <v>3574</v>
      </c>
      <c r="D91" s="1" t="s">
        <v>2146</v>
      </c>
      <c r="E91" s="9" t="s">
        <v>2172</v>
      </c>
      <c r="F91" s="9" t="s">
        <v>2173</v>
      </c>
      <c r="G91" s="1" t="s">
        <v>2163</v>
      </c>
      <c r="H91" s="1" t="s">
        <v>4</v>
      </c>
    </row>
    <row r="92">
      <c r="A92" s="1" t="s">
        <v>8</v>
      </c>
      <c r="B92" s="1" t="s">
        <v>384</v>
      </c>
      <c r="C92" s="1" t="s">
        <v>3575</v>
      </c>
      <c r="D92" s="1">
        <v>1.0</v>
      </c>
      <c r="E92" s="9" t="s">
        <v>3348</v>
      </c>
      <c r="F92" s="9" t="s">
        <v>2155</v>
      </c>
      <c r="G92" s="1" t="s">
        <v>417</v>
      </c>
      <c r="H92" s="1" t="s">
        <v>3</v>
      </c>
    </row>
    <row r="93">
      <c r="A93" s="1" t="s">
        <v>8</v>
      </c>
      <c r="B93" s="1" t="s">
        <v>384</v>
      </c>
      <c r="C93" s="1" t="s">
        <v>3576</v>
      </c>
      <c r="D93" s="1" t="s">
        <v>2162</v>
      </c>
      <c r="E93" s="9" t="s">
        <v>3494</v>
      </c>
      <c r="F93" s="9" t="s">
        <v>3436</v>
      </c>
      <c r="G93" s="1" t="s">
        <v>3491</v>
      </c>
      <c r="H93" s="1" t="s">
        <v>3</v>
      </c>
    </row>
    <row r="94">
      <c r="A94" s="1" t="s">
        <v>8</v>
      </c>
      <c r="B94" s="1" t="s">
        <v>384</v>
      </c>
      <c r="C94" s="1" t="s">
        <v>3577</v>
      </c>
      <c r="D94" s="1" t="s">
        <v>3460</v>
      </c>
      <c r="E94" s="9" t="s">
        <v>3578</v>
      </c>
      <c r="F94" s="9" t="s">
        <v>3442</v>
      </c>
      <c r="G94" s="1" t="s">
        <v>3579</v>
      </c>
      <c r="H94" s="1" t="s">
        <v>4</v>
      </c>
    </row>
    <row r="95">
      <c r="A95" s="1" t="s">
        <v>8</v>
      </c>
      <c r="B95" s="1" t="s">
        <v>384</v>
      </c>
      <c r="C95" s="1" t="s">
        <v>3580</v>
      </c>
      <c r="D95" s="1" t="s">
        <v>1509</v>
      </c>
      <c r="E95" s="9" t="s">
        <v>1975</v>
      </c>
      <c r="F95" s="9" t="s">
        <v>1191</v>
      </c>
      <c r="G95" s="1" t="s">
        <v>22</v>
      </c>
      <c r="H95" s="1" t="s">
        <v>3</v>
      </c>
    </row>
    <row r="96">
      <c r="A96" s="1" t="s">
        <v>8</v>
      </c>
      <c r="B96" s="1" t="s">
        <v>384</v>
      </c>
      <c r="C96" s="1" t="s">
        <v>3581</v>
      </c>
      <c r="D96" s="1" t="s">
        <v>1971</v>
      </c>
      <c r="E96" s="9" t="s">
        <v>3582</v>
      </c>
      <c r="F96" s="9" t="s">
        <v>3544</v>
      </c>
      <c r="G96" s="1" t="s">
        <v>1509</v>
      </c>
      <c r="H96" s="1" t="s">
        <v>4</v>
      </c>
    </row>
    <row r="97">
      <c r="A97" s="1" t="s">
        <v>8</v>
      </c>
      <c r="B97" s="1" t="s">
        <v>384</v>
      </c>
      <c r="C97" s="1" t="s">
        <v>3583</v>
      </c>
      <c r="D97" s="1" t="s">
        <v>3584</v>
      </c>
      <c r="E97" s="9" t="s">
        <v>3585</v>
      </c>
      <c r="F97" s="9" t="s">
        <v>3586</v>
      </c>
      <c r="G97" s="1" t="s">
        <v>3587</v>
      </c>
      <c r="H97" s="1" t="s">
        <v>5</v>
      </c>
    </row>
    <row r="98">
      <c r="A98" s="1" t="s">
        <v>8</v>
      </c>
      <c r="B98" s="1" t="s">
        <v>384</v>
      </c>
      <c r="C98" s="1" t="s">
        <v>3378</v>
      </c>
      <c r="D98" s="1" t="s">
        <v>3379</v>
      </c>
      <c r="E98" s="9" t="s">
        <v>3380</v>
      </c>
      <c r="F98" s="9" t="s">
        <v>1905</v>
      </c>
      <c r="G98" s="1" t="s">
        <v>1906</v>
      </c>
      <c r="H98" s="1" t="s">
        <v>5</v>
      </c>
    </row>
    <row r="99">
      <c r="A99" s="1" t="s">
        <v>8</v>
      </c>
      <c r="B99" s="1" t="s">
        <v>384</v>
      </c>
      <c r="C99" s="1" t="s">
        <v>3588</v>
      </c>
      <c r="D99" s="1" t="s">
        <v>3370</v>
      </c>
      <c r="E99" s="1" t="s">
        <v>3383</v>
      </c>
      <c r="F99" s="1" t="s">
        <v>3044</v>
      </c>
      <c r="G99" s="1" t="s">
        <v>3384</v>
      </c>
      <c r="H99" s="1" t="s">
        <v>6</v>
      </c>
    </row>
    <row r="100">
      <c r="A100" s="1" t="s">
        <v>8</v>
      </c>
      <c r="B100" s="1" t="s">
        <v>384</v>
      </c>
      <c r="C100" s="1" t="s">
        <v>3385</v>
      </c>
      <c r="D100" s="1" t="s">
        <v>3041</v>
      </c>
      <c r="E100" s="1" t="s">
        <v>3043</v>
      </c>
      <c r="F100" s="1" t="s">
        <v>3073</v>
      </c>
      <c r="G100" s="1" t="s">
        <v>3044</v>
      </c>
      <c r="H100" s="1" t="s">
        <v>5</v>
      </c>
    </row>
    <row r="101">
      <c r="A101" s="1" t="s">
        <v>8</v>
      </c>
      <c r="B101" s="1" t="s">
        <v>384</v>
      </c>
      <c r="C101" s="1" t="s">
        <v>3374</v>
      </c>
      <c r="D101" s="1" t="s">
        <v>2164</v>
      </c>
      <c r="E101" s="1" t="s">
        <v>2146</v>
      </c>
      <c r="F101" s="1" t="s">
        <v>3375</v>
      </c>
      <c r="G101" s="1" t="s">
        <v>3376</v>
      </c>
      <c r="H101" s="1" t="s">
        <v>3</v>
      </c>
    </row>
    <row r="102">
      <c r="A102" s="1" t="s">
        <v>8</v>
      </c>
      <c r="B102" s="1" t="s">
        <v>384</v>
      </c>
      <c r="C102" s="1" t="s">
        <v>3386</v>
      </c>
      <c r="D102" s="1" t="s">
        <v>3387</v>
      </c>
      <c r="E102" s="1" t="s">
        <v>3388</v>
      </c>
      <c r="F102" s="1" t="s">
        <v>3389</v>
      </c>
      <c r="G102" s="1" t="s">
        <v>3390</v>
      </c>
      <c r="H102" s="1" t="s">
        <v>3</v>
      </c>
    </row>
    <row r="103">
      <c r="A103" s="1" t="s">
        <v>8</v>
      </c>
      <c r="B103" s="1" t="s">
        <v>384</v>
      </c>
      <c r="C103" s="1" t="s">
        <v>3589</v>
      </c>
      <c r="D103" s="1" t="s">
        <v>3590</v>
      </c>
      <c r="E103" s="1" t="s">
        <v>3591</v>
      </c>
      <c r="F103" s="1" t="s">
        <v>3592</v>
      </c>
      <c r="G103" s="1" t="s">
        <v>3593</v>
      </c>
      <c r="H103" s="1" t="s">
        <v>6</v>
      </c>
    </row>
    <row r="104">
      <c r="A104" s="1" t="s">
        <v>8</v>
      </c>
      <c r="B104" s="1" t="s">
        <v>384</v>
      </c>
      <c r="C104" s="1" t="s">
        <v>3594</v>
      </c>
      <c r="D104" s="1" t="s">
        <v>3595</v>
      </c>
      <c r="E104" s="1" t="s">
        <v>3596</v>
      </c>
      <c r="F104" s="1" t="s">
        <v>3597</v>
      </c>
      <c r="G104" s="1" t="s">
        <v>3491</v>
      </c>
      <c r="H104" s="1" t="s">
        <v>4</v>
      </c>
    </row>
    <row r="105">
      <c r="A105" s="1" t="s">
        <v>8</v>
      </c>
      <c r="B105" s="1" t="s">
        <v>384</v>
      </c>
      <c r="C105" s="1" t="s">
        <v>3598</v>
      </c>
      <c r="D105" s="1" t="s">
        <v>3409</v>
      </c>
      <c r="E105" s="1" t="s">
        <v>3408</v>
      </c>
      <c r="F105" s="1" t="s">
        <v>3410</v>
      </c>
      <c r="G105" s="1" t="s">
        <v>22</v>
      </c>
      <c r="H105" s="1" t="s">
        <v>4</v>
      </c>
    </row>
    <row r="106">
      <c r="A106" s="1" t="s">
        <v>8</v>
      </c>
      <c r="B106" s="1" t="s">
        <v>384</v>
      </c>
      <c r="C106" s="1" t="s">
        <v>3470</v>
      </c>
      <c r="D106" s="1" t="s">
        <v>3471</v>
      </c>
      <c r="E106" s="1" t="s">
        <v>3472</v>
      </c>
      <c r="F106" s="1" t="s">
        <v>3599</v>
      </c>
      <c r="G106" s="1" t="s">
        <v>22</v>
      </c>
      <c r="H106" s="1" t="s">
        <v>3</v>
      </c>
    </row>
    <row r="107">
      <c r="A107" s="1" t="s">
        <v>8</v>
      </c>
      <c r="B107" s="1" t="s">
        <v>384</v>
      </c>
      <c r="C107" s="1" t="s">
        <v>3391</v>
      </c>
      <c r="D107" s="1" t="s">
        <v>3392</v>
      </c>
      <c r="E107" s="6">
        <v>0.4263888888888889</v>
      </c>
      <c r="F107" s="10">
        <v>1.0756944444444445</v>
      </c>
      <c r="G107" s="10">
        <v>2.0590277777777777</v>
      </c>
      <c r="H107" s="1" t="s">
        <v>5</v>
      </c>
    </row>
    <row r="108">
      <c r="A108" s="1" t="s">
        <v>8</v>
      </c>
      <c r="B108" s="1" t="s">
        <v>384</v>
      </c>
      <c r="C108" s="1" t="s">
        <v>3600</v>
      </c>
      <c r="D108" s="1" t="s">
        <v>2162</v>
      </c>
      <c r="E108" s="1" t="s">
        <v>3494</v>
      </c>
      <c r="F108" s="1" t="s">
        <v>3436</v>
      </c>
      <c r="G108" s="1" t="s">
        <v>3491</v>
      </c>
      <c r="H108" s="1" t="s">
        <v>4</v>
      </c>
    </row>
    <row r="109">
      <c r="A109" s="1" t="s">
        <v>8</v>
      </c>
      <c r="B109" s="1" t="s">
        <v>384</v>
      </c>
      <c r="C109" s="1" t="s">
        <v>3601</v>
      </c>
      <c r="D109" s="1" t="s">
        <v>3602</v>
      </c>
      <c r="E109" s="1" t="s">
        <v>3603</v>
      </c>
      <c r="F109" s="1" t="s">
        <v>3604</v>
      </c>
      <c r="G109" s="1" t="s">
        <v>3605</v>
      </c>
      <c r="H109" s="1" t="s">
        <v>3</v>
      </c>
    </row>
    <row r="110">
      <c r="A110" s="1" t="s">
        <v>8</v>
      </c>
      <c r="B110" s="1" t="s">
        <v>384</v>
      </c>
      <c r="C110" s="1" t="s">
        <v>3366</v>
      </c>
      <c r="D110" s="1" t="s">
        <v>3043</v>
      </c>
      <c r="E110" s="1" t="s">
        <v>3367</v>
      </c>
      <c r="F110" s="1" t="s">
        <v>3368</v>
      </c>
      <c r="G110" s="1" t="s">
        <v>3044</v>
      </c>
      <c r="H110" s="1" t="s">
        <v>4</v>
      </c>
    </row>
    <row r="111">
      <c r="A111" s="1" t="s">
        <v>8</v>
      </c>
      <c r="B111" s="1" t="s">
        <v>384</v>
      </c>
      <c r="C111" s="1" t="s">
        <v>3361</v>
      </c>
      <c r="D111" s="1" t="s">
        <v>3362</v>
      </c>
      <c r="E111" s="1" t="s">
        <v>3363</v>
      </c>
      <c r="F111" s="1" t="s">
        <v>3364</v>
      </c>
      <c r="G111" s="1" t="s">
        <v>3365</v>
      </c>
      <c r="H111" s="1" t="s">
        <v>3</v>
      </c>
    </row>
    <row r="112">
      <c r="A112" s="1" t="s">
        <v>8</v>
      </c>
      <c r="B112" s="1" t="s">
        <v>384</v>
      </c>
      <c r="C112" s="1" t="s">
        <v>3606</v>
      </c>
      <c r="D112" s="1" t="s">
        <v>3406</v>
      </c>
      <c r="E112" s="1" t="s">
        <v>3405</v>
      </c>
      <c r="F112" s="1" t="s">
        <v>3403</v>
      </c>
      <c r="G112" s="1" t="s">
        <v>3404</v>
      </c>
      <c r="H112" s="1" t="s">
        <v>4</v>
      </c>
    </row>
    <row r="113">
      <c r="A113" s="1" t="s">
        <v>8</v>
      </c>
      <c r="B113" s="1" t="s">
        <v>384</v>
      </c>
      <c r="C113" s="1" t="s">
        <v>3397</v>
      </c>
      <c r="D113" s="1" t="s">
        <v>3398</v>
      </c>
      <c r="E113" s="1" t="s">
        <v>3399</v>
      </c>
      <c r="F113" s="1" t="s">
        <v>3400</v>
      </c>
      <c r="G113" s="1" t="s">
        <v>3401</v>
      </c>
      <c r="H113" s="1" t="s">
        <v>3</v>
      </c>
    </row>
    <row r="114">
      <c r="A114" s="1" t="s">
        <v>8</v>
      </c>
      <c r="B114" s="1" t="s">
        <v>384</v>
      </c>
      <c r="C114" s="1" t="s">
        <v>3607</v>
      </c>
      <c r="D114" s="1" t="s">
        <v>3608</v>
      </c>
      <c r="E114" s="1" t="s">
        <v>3609</v>
      </c>
      <c r="F114" s="1" t="s">
        <v>3610</v>
      </c>
      <c r="G114" s="1" t="s">
        <v>3611</v>
      </c>
      <c r="H114" s="1" t="s">
        <v>3</v>
      </c>
    </row>
    <row r="115">
      <c r="A115" s="1" t="s">
        <v>8</v>
      </c>
      <c r="B115" s="1" t="s">
        <v>384</v>
      </c>
      <c r="C115" s="1" t="s">
        <v>3612</v>
      </c>
      <c r="D115" s="1" t="s">
        <v>3497</v>
      </c>
      <c r="E115" s="1" t="s">
        <v>3498</v>
      </c>
      <c r="F115" s="1" t="s">
        <v>3500</v>
      </c>
      <c r="G115" s="1" t="s">
        <v>3523</v>
      </c>
      <c r="H115" s="1" t="s">
        <v>3</v>
      </c>
    </row>
    <row r="116">
      <c r="A116" s="1" t="s">
        <v>8</v>
      </c>
      <c r="B116" s="1" t="s">
        <v>384</v>
      </c>
      <c r="C116" s="1" t="s">
        <v>3613</v>
      </c>
      <c r="D116" s="1" t="s">
        <v>3614</v>
      </c>
      <c r="E116" s="1" t="s">
        <v>3615</v>
      </c>
      <c r="F116" s="1" t="s">
        <v>3616</v>
      </c>
      <c r="G116" s="1" t="s">
        <v>3617</v>
      </c>
      <c r="H116" s="1" t="s">
        <v>3</v>
      </c>
    </row>
    <row r="117">
      <c r="A117" s="1" t="s">
        <v>8</v>
      </c>
      <c r="B117" s="1" t="s">
        <v>384</v>
      </c>
      <c r="C117" s="1" t="s">
        <v>3618</v>
      </c>
      <c r="D117" s="1" t="s">
        <v>2147</v>
      </c>
      <c r="E117" s="1" t="s">
        <v>3494</v>
      </c>
      <c r="F117" s="1" t="s">
        <v>2163</v>
      </c>
      <c r="G117" s="1" t="s">
        <v>2172</v>
      </c>
      <c r="H117" s="1" t="s">
        <v>3</v>
      </c>
    </row>
    <row r="118">
      <c r="A118" s="1" t="s">
        <v>8</v>
      </c>
      <c r="B118" s="1" t="s">
        <v>384</v>
      </c>
      <c r="C118" s="1" t="s">
        <v>3619</v>
      </c>
      <c r="D118" s="1" t="s">
        <v>3491</v>
      </c>
      <c r="E118" s="1" t="s">
        <v>3620</v>
      </c>
      <c r="F118" s="1" t="s">
        <v>2302</v>
      </c>
      <c r="G118" s="1" t="s">
        <v>2173</v>
      </c>
      <c r="H118" s="1" t="s">
        <v>3</v>
      </c>
    </row>
    <row r="119">
      <c r="A119" s="1" t="s">
        <v>8</v>
      </c>
      <c r="B119" s="1" t="s">
        <v>384</v>
      </c>
      <c r="C119" s="1" t="s">
        <v>3621</v>
      </c>
      <c r="D119" s="1" t="s">
        <v>3370</v>
      </c>
      <c r="E119" s="1" t="s">
        <v>3043</v>
      </c>
      <c r="F119" s="1" t="s">
        <v>3367</v>
      </c>
      <c r="G119" s="1" t="s">
        <v>3368</v>
      </c>
      <c r="H119" s="1" t="s">
        <v>3</v>
      </c>
    </row>
    <row r="120">
      <c r="A120" s="1" t="s">
        <v>8</v>
      </c>
      <c r="B120" s="1" t="s">
        <v>384</v>
      </c>
      <c r="C120" s="1" t="s">
        <v>3622</v>
      </c>
      <c r="D120" s="1" t="s">
        <v>1975</v>
      </c>
      <c r="E120" s="1" t="s">
        <v>1509</v>
      </c>
      <c r="F120" s="1" t="s">
        <v>3372</v>
      </c>
      <c r="G120" s="1" t="s">
        <v>2080</v>
      </c>
      <c r="H120" s="1" t="s">
        <v>4</v>
      </c>
    </row>
    <row r="121">
      <c r="A121" s="1" t="s">
        <v>8</v>
      </c>
      <c r="B121" s="1" t="s">
        <v>384</v>
      </c>
      <c r="C121" s="1" t="s">
        <v>3347</v>
      </c>
      <c r="D121" s="1">
        <v>1.0</v>
      </c>
      <c r="E121" s="1">
        <v>2.0</v>
      </c>
      <c r="F121" s="1">
        <v>3.0</v>
      </c>
      <c r="G121" s="1" t="s">
        <v>987</v>
      </c>
      <c r="H121" s="1" t="s">
        <v>6</v>
      </c>
    </row>
    <row r="122">
      <c r="A122" s="1" t="s">
        <v>8</v>
      </c>
      <c r="B122" s="1" t="s">
        <v>384</v>
      </c>
      <c r="C122" s="1" t="s">
        <v>3623</v>
      </c>
      <c r="D122" s="1">
        <v>1.0</v>
      </c>
      <c r="E122" s="1">
        <v>2.0</v>
      </c>
      <c r="F122" s="1">
        <v>3.0</v>
      </c>
      <c r="G122" s="1" t="s">
        <v>417</v>
      </c>
      <c r="H122" s="1" t="s">
        <v>3</v>
      </c>
    </row>
    <row r="123">
      <c r="A123" s="1" t="s">
        <v>8</v>
      </c>
      <c r="B123" s="1" t="s">
        <v>384</v>
      </c>
      <c r="C123" s="1" t="s">
        <v>3350</v>
      </c>
      <c r="D123" s="1" t="s">
        <v>2193</v>
      </c>
      <c r="E123" s="1" t="s">
        <v>3351</v>
      </c>
      <c r="F123" s="1" t="s">
        <v>3352</v>
      </c>
      <c r="G123" s="1" t="s">
        <v>2191</v>
      </c>
      <c r="H123" s="1" t="s">
        <v>5</v>
      </c>
    </row>
    <row r="124">
      <c r="A124" s="1" t="s">
        <v>8</v>
      </c>
      <c r="B124" s="1" t="s">
        <v>384</v>
      </c>
      <c r="C124" s="1" t="s">
        <v>3357</v>
      </c>
      <c r="D124" s="1" t="s">
        <v>2163</v>
      </c>
      <c r="E124" s="1" t="s">
        <v>3358</v>
      </c>
      <c r="F124" s="1" t="s">
        <v>3359</v>
      </c>
      <c r="G124" s="1" t="s">
        <v>3360</v>
      </c>
      <c r="H124" s="1" t="s">
        <v>6</v>
      </c>
    </row>
    <row r="125">
      <c r="A125" s="1" t="s">
        <v>8</v>
      </c>
      <c r="B125" s="1" t="s">
        <v>384</v>
      </c>
      <c r="C125" s="1" t="s">
        <v>3624</v>
      </c>
      <c r="D125" s="1" t="s">
        <v>498</v>
      </c>
      <c r="E125" s="1" t="s">
        <v>3625</v>
      </c>
      <c r="F125" s="1" t="s">
        <v>3626</v>
      </c>
      <c r="G125" s="1" t="s">
        <v>3627</v>
      </c>
      <c r="H125" s="1" t="s">
        <v>3</v>
      </c>
    </row>
    <row r="126">
      <c r="A126" s="1" t="s">
        <v>8</v>
      </c>
      <c r="B126" s="1" t="s">
        <v>384</v>
      </c>
      <c r="C126" s="1" t="s">
        <v>3411</v>
      </c>
      <c r="D126" s="1" t="s">
        <v>3412</v>
      </c>
      <c r="E126" s="1" t="s">
        <v>3413</v>
      </c>
      <c r="F126" s="1" t="s">
        <v>3414</v>
      </c>
      <c r="G126" s="1" t="s">
        <v>3363</v>
      </c>
      <c r="H126" s="1" t="s">
        <v>4</v>
      </c>
    </row>
    <row r="127">
      <c r="A127" s="1" t="s">
        <v>8</v>
      </c>
      <c r="B127" s="1" t="s">
        <v>384</v>
      </c>
      <c r="C127" s="1" t="s">
        <v>3628</v>
      </c>
      <c r="D127" s="1" t="s">
        <v>3629</v>
      </c>
      <c r="E127" s="1" t="s">
        <v>3630</v>
      </c>
      <c r="F127" s="1" t="s">
        <v>3631</v>
      </c>
      <c r="G127" s="1" t="s">
        <v>3632</v>
      </c>
      <c r="H127" s="1" t="s">
        <v>3</v>
      </c>
    </row>
    <row r="128">
      <c r="A128" s="1" t="s">
        <v>8</v>
      </c>
      <c r="B128" s="1" t="s">
        <v>384</v>
      </c>
      <c r="C128" s="1" t="s">
        <v>3538</v>
      </c>
      <c r="D128" s="1" t="s">
        <v>3398</v>
      </c>
      <c r="E128" s="1" t="s">
        <v>3400</v>
      </c>
      <c r="F128" s="1" t="s">
        <v>3399</v>
      </c>
      <c r="G128" s="1" t="s">
        <v>3401</v>
      </c>
      <c r="H128" s="1" t="s">
        <v>4</v>
      </c>
    </row>
    <row r="129">
      <c r="A129" s="1" t="s">
        <v>8</v>
      </c>
      <c r="B129" s="1" t="s">
        <v>384</v>
      </c>
      <c r="C129" s="1" t="s">
        <v>3484</v>
      </c>
      <c r="D129" s="1" t="s">
        <v>1925</v>
      </c>
      <c r="E129" s="1" t="s">
        <v>938</v>
      </c>
      <c r="F129" s="1" t="s">
        <v>1191</v>
      </c>
      <c r="G129" s="1" t="s">
        <v>22</v>
      </c>
      <c r="H129" s="1" t="s">
        <v>5</v>
      </c>
    </row>
    <row r="130">
      <c r="A130" s="1" t="s">
        <v>8</v>
      </c>
      <c r="B130" s="1" t="s">
        <v>384</v>
      </c>
      <c r="C130" s="1" t="s">
        <v>3354</v>
      </c>
      <c r="D130" s="1" t="s">
        <v>3355</v>
      </c>
      <c r="E130" s="1" t="s">
        <v>3351</v>
      </c>
      <c r="F130" s="1" t="s">
        <v>3356</v>
      </c>
      <c r="G130" s="1" t="s">
        <v>2192</v>
      </c>
      <c r="H130" s="1" t="s">
        <v>5</v>
      </c>
    </row>
    <row r="131">
      <c r="A131" s="1" t="s">
        <v>8</v>
      </c>
      <c r="B131" s="1" t="s">
        <v>384</v>
      </c>
      <c r="C131" s="1" t="s">
        <v>3633</v>
      </c>
      <c r="D131" s="2">
        <v>46149.0</v>
      </c>
      <c r="E131" s="2">
        <v>46148.0</v>
      </c>
      <c r="F131" s="2">
        <v>46208.0</v>
      </c>
      <c r="G131" s="1">
        <v>1.0</v>
      </c>
      <c r="H131" s="1" t="s">
        <v>3</v>
      </c>
    </row>
    <row r="132">
      <c r="A132" s="1" t="s">
        <v>8</v>
      </c>
      <c r="B132" s="1" t="s">
        <v>384</v>
      </c>
      <c r="C132" s="1" t="s">
        <v>3634</v>
      </c>
      <c r="D132" s="1" t="s">
        <v>335</v>
      </c>
      <c r="E132" s="1" t="s">
        <v>336</v>
      </c>
      <c r="F132" s="1" t="s">
        <v>73</v>
      </c>
      <c r="G132" s="1" t="s">
        <v>74</v>
      </c>
      <c r="H132" s="1" t="s">
        <v>3</v>
      </c>
    </row>
    <row r="133">
      <c r="A133" s="1" t="s">
        <v>8</v>
      </c>
      <c r="B133" s="1" t="s">
        <v>384</v>
      </c>
      <c r="C133" s="1" t="s">
        <v>3635</v>
      </c>
      <c r="D133" s="1" t="s">
        <v>3043</v>
      </c>
      <c r="E133" s="1" t="s">
        <v>3044</v>
      </c>
      <c r="F133" s="1" t="s">
        <v>3460</v>
      </c>
      <c r="G133" s="1" t="s">
        <v>3042</v>
      </c>
      <c r="H133" s="1" t="s">
        <v>4</v>
      </c>
    </row>
    <row r="134">
      <c r="A134" s="1" t="s">
        <v>8</v>
      </c>
      <c r="B134" s="1" t="s">
        <v>384</v>
      </c>
      <c r="C134" s="1" t="s">
        <v>3636</v>
      </c>
      <c r="D134" s="1" t="s">
        <v>3637</v>
      </c>
      <c r="E134" s="1" t="s">
        <v>3638</v>
      </c>
      <c r="F134" s="1" t="s">
        <v>3639</v>
      </c>
      <c r="G134" s="1" t="s">
        <v>22</v>
      </c>
      <c r="H134" s="1" t="s">
        <v>3</v>
      </c>
    </row>
    <row r="135">
      <c r="A135" s="1" t="s">
        <v>8</v>
      </c>
      <c r="B135" s="1" t="s">
        <v>384</v>
      </c>
      <c r="C135" s="1" t="s">
        <v>3640</v>
      </c>
      <c r="D135" s="1" t="s">
        <v>3641</v>
      </c>
      <c r="E135" s="1" t="s">
        <v>3642</v>
      </c>
      <c r="F135" s="1" t="s">
        <v>3643</v>
      </c>
      <c r="G135" s="1" t="s">
        <v>3644</v>
      </c>
      <c r="H135" s="1" t="s">
        <v>3</v>
      </c>
    </row>
    <row r="136">
      <c r="A136" s="1" t="s">
        <v>8</v>
      </c>
      <c r="B136" s="1" t="s">
        <v>384</v>
      </c>
      <c r="C136" s="1" t="s">
        <v>3645</v>
      </c>
      <c r="D136" s="1" t="s">
        <v>3499</v>
      </c>
      <c r="E136" s="1" t="s">
        <v>3524</v>
      </c>
      <c r="F136" s="1" t="s">
        <v>3523</v>
      </c>
      <c r="G136" s="1" t="s">
        <v>3646</v>
      </c>
      <c r="H136" s="1" t="s">
        <v>3</v>
      </c>
    </row>
    <row r="137">
      <c r="A137" s="1" t="s">
        <v>8</v>
      </c>
      <c r="B137" s="1" t="s">
        <v>384</v>
      </c>
      <c r="C137" s="1" t="s">
        <v>3647</v>
      </c>
      <c r="D137" s="1" t="s">
        <v>3648</v>
      </c>
      <c r="E137" s="1" t="s">
        <v>3649</v>
      </c>
      <c r="F137" s="1" t="s">
        <v>3650</v>
      </c>
      <c r="G137" s="1" t="s">
        <v>3651</v>
      </c>
      <c r="H137" s="1" t="s">
        <v>4</v>
      </c>
    </row>
    <row r="138">
      <c r="A138" s="1" t="s">
        <v>8</v>
      </c>
      <c r="B138" s="1" t="s">
        <v>384</v>
      </c>
      <c r="C138" s="1" t="s">
        <v>3652</v>
      </c>
      <c r="D138" s="1" t="s">
        <v>1552</v>
      </c>
      <c r="E138" s="1" t="s">
        <v>1932</v>
      </c>
      <c r="F138" s="6">
        <v>0.7229166666666667</v>
      </c>
      <c r="G138" s="1" t="s">
        <v>2096</v>
      </c>
      <c r="H138" s="1" t="s">
        <v>3</v>
      </c>
    </row>
    <row r="139">
      <c r="A139" s="1" t="s">
        <v>8</v>
      </c>
      <c r="B139" s="1" t="s">
        <v>384</v>
      </c>
      <c r="C139" s="1" t="s">
        <v>3653</v>
      </c>
      <c r="D139" s="1" t="s">
        <v>2190</v>
      </c>
      <c r="E139" s="1" t="s">
        <v>2191</v>
      </c>
      <c r="F139" s="1" t="s">
        <v>2192</v>
      </c>
      <c r="G139" s="1" t="s">
        <v>22</v>
      </c>
      <c r="H139" s="1" t="s">
        <v>4</v>
      </c>
    </row>
    <row r="140">
      <c r="A140" s="1" t="s">
        <v>8</v>
      </c>
      <c r="B140" s="1" t="s">
        <v>384</v>
      </c>
      <c r="C140" s="1" t="s">
        <v>3353</v>
      </c>
      <c r="D140" s="1">
        <v>1.0</v>
      </c>
      <c r="E140" s="1">
        <v>2.0</v>
      </c>
      <c r="F140" s="1">
        <v>3.0</v>
      </c>
      <c r="G140" s="1" t="s">
        <v>417</v>
      </c>
      <c r="H140" s="1" t="s">
        <v>4</v>
      </c>
    </row>
    <row r="141">
      <c r="A141" s="1" t="s">
        <v>8</v>
      </c>
      <c r="B141" s="1" t="s">
        <v>384</v>
      </c>
      <c r="C141" s="1" t="s">
        <v>3654</v>
      </c>
      <c r="D141" s="1">
        <v>1.0</v>
      </c>
      <c r="E141" s="1">
        <v>2.0</v>
      </c>
      <c r="F141" s="1">
        <v>3.0</v>
      </c>
      <c r="G141" s="1">
        <v>4.0</v>
      </c>
      <c r="H141" s="1" t="s">
        <v>5</v>
      </c>
    </row>
    <row r="142">
      <c r="A142" s="1" t="s">
        <v>8</v>
      </c>
      <c r="B142" s="1" t="s">
        <v>384</v>
      </c>
      <c r="C142" s="1" t="s">
        <v>3427</v>
      </c>
      <c r="D142" s="1">
        <v>0.0</v>
      </c>
      <c r="E142" s="1">
        <v>1.0</v>
      </c>
      <c r="F142" s="1">
        <v>2.0</v>
      </c>
      <c r="G142" s="1" t="s">
        <v>417</v>
      </c>
      <c r="H142" s="1" t="s">
        <v>3</v>
      </c>
    </row>
    <row r="143">
      <c r="A143" s="1" t="s">
        <v>8</v>
      </c>
      <c r="B143" s="1" t="s">
        <v>384</v>
      </c>
      <c r="C143" s="1" t="s">
        <v>3655</v>
      </c>
      <c r="D143" s="1" t="s">
        <v>3499</v>
      </c>
      <c r="E143" s="1" t="s">
        <v>3498</v>
      </c>
      <c r="F143" s="1" t="s">
        <v>3656</v>
      </c>
      <c r="G143" s="1" t="s">
        <v>2210</v>
      </c>
      <c r="H143" s="1" t="s">
        <v>3</v>
      </c>
    </row>
    <row r="144">
      <c r="A144" s="1" t="s">
        <v>8</v>
      </c>
      <c r="B144" s="1" t="s">
        <v>384</v>
      </c>
      <c r="C144" s="1" t="s">
        <v>3657</v>
      </c>
      <c r="D144" s="1">
        <v>140.0</v>
      </c>
      <c r="E144" s="1">
        <v>150.0</v>
      </c>
      <c r="F144" s="1">
        <v>160.0</v>
      </c>
      <c r="G144" s="1">
        <v>166.0</v>
      </c>
      <c r="H144" s="1" t="s">
        <v>3</v>
      </c>
    </row>
    <row r="145">
      <c r="A145" s="1" t="s">
        <v>8</v>
      </c>
      <c r="B145" s="1" t="s">
        <v>384</v>
      </c>
      <c r="C145" s="1" t="s">
        <v>3658</v>
      </c>
      <c r="D145" s="1" t="s">
        <v>3523</v>
      </c>
      <c r="E145" s="1" t="s">
        <v>3499</v>
      </c>
      <c r="F145" s="1" t="s">
        <v>3524</v>
      </c>
      <c r="G145" s="1" t="s">
        <v>3525</v>
      </c>
      <c r="H145" s="1" t="s">
        <v>3</v>
      </c>
    </row>
    <row r="146">
      <c r="A146" s="1" t="s">
        <v>8</v>
      </c>
      <c r="B146" s="1" t="s">
        <v>384</v>
      </c>
      <c r="C146" s="1" t="s">
        <v>3435</v>
      </c>
      <c r="D146" s="1" t="s">
        <v>3437</v>
      </c>
      <c r="E146" s="1" t="s">
        <v>3439</v>
      </c>
      <c r="F146" s="1" t="s">
        <v>3560</v>
      </c>
      <c r="G146" s="1" t="s">
        <v>3561</v>
      </c>
      <c r="H146" s="1" t="s">
        <v>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3659</v>
      </c>
      <c r="C2" s="1" t="s">
        <v>3660</v>
      </c>
      <c r="D2" s="6">
        <v>0.21736111111111112</v>
      </c>
      <c r="E2" s="1" t="s">
        <v>3661</v>
      </c>
      <c r="F2" s="1" t="s">
        <v>3662</v>
      </c>
      <c r="G2" s="1" t="s">
        <v>2093</v>
      </c>
      <c r="H2" s="1" t="s">
        <v>5</v>
      </c>
    </row>
    <row r="3">
      <c r="A3" s="1" t="s">
        <v>8</v>
      </c>
      <c r="B3" s="1" t="s">
        <v>3659</v>
      </c>
      <c r="C3" s="1" t="s">
        <v>3663</v>
      </c>
      <c r="D3" s="1">
        <v>5.0</v>
      </c>
      <c r="E3" s="1">
        <v>8.0</v>
      </c>
      <c r="F3" s="1">
        <v>13.0</v>
      </c>
      <c r="G3" s="1">
        <v>3.0</v>
      </c>
      <c r="H3" s="1" t="s">
        <v>5</v>
      </c>
    </row>
    <row r="4">
      <c r="A4" s="1" t="s">
        <v>8</v>
      </c>
      <c r="B4" s="1" t="s">
        <v>3659</v>
      </c>
      <c r="C4" s="1" t="s">
        <v>3664</v>
      </c>
      <c r="D4" s="1" t="s">
        <v>3665</v>
      </c>
      <c r="E4" s="1" t="s">
        <v>3666</v>
      </c>
      <c r="F4" s="1" t="s">
        <v>3667</v>
      </c>
      <c r="G4" s="1" t="s">
        <v>3668</v>
      </c>
      <c r="H4" s="1" t="s">
        <v>5</v>
      </c>
    </row>
    <row r="5">
      <c r="A5" s="1" t="s">
        <v>8</v>
      </c>
      <c r="B5" s="1" t="s">
        <v>3659</v>
      </c>
      <c r="C5" s="1" t="s">
        <v>3669</v>
      </c>
      <c r="D5" s="1" t="s">
        <v>1919</v>
      </c>
      <c r="E5" s="1" t="s">
        <v>1966</v>
      </c>
      <c r="F5" s="1" t="s">
        <v>1965</v>
      </c>
      <c r="G5" s="1" t="s">
        <v>3670</v>
      </c>
      <c r="H5" s="1" t="s">
        <v>5</v>
      </c>
    </row>
    <row r="6">
      <c r="A6" s="1" t="s">
        <v>8</v>
      </c>
      <c r="B6" s="1" t="s">
        <v>3659</v>
      </c>
      <c r="C6" s="1" t="s">
        <v>3671</v>
      </c>
      <c r="D6" s="1" t="s">
        <v>3672</v>
      </c>
      <c r="E6" s="1" t="s">
        <v>3673</v>
      </c>
      <c r="F6" s="1" t="s">
        <v>3674</v>
      </c>
      <c r="G6" s="1" t="s">
        <v>22</v>
      </c>
      <c r="H6" s="1" t="s">
        <v>4</v>
      </c>
    </row>
    <row r="7">
      <c r="A7" s="1" t="s">
        <v>8</v>
      </c>
      <c r="B7" s="1" t="s">
        <v>3659</v>
      </c>
      <c r="C7" s="1" t="s">
        <v>3675</v>
      </c>
      <c r="D7" s="1" t="s">
        <v>3041</v>
      </c>
      <c r="E7" s="1" t="s">
        <v>3042</v>
      </c>
      <c r="F7" s="1" t="s">
        <v>3043</v>
      </c>
      <c r="G7" s="1" t="s">
        <v>3044</v>
      </c>
      <c r="H7" s="1" t="s">
        <v>3</v>
      </c>
    </row>
    <row r="8">
      <c r="A8" s="1" t="s">
        <v>8</v>
      </c>
      <c r="B8" s="1" t="s">
        <v>3659</v>
      </c>
      <c r="C8" s="1" t="s">
        <v>3676</v>
      </c>
      <c r="D8" s="1" t="s">
        <v>1970</v>
      </c>
      <c r="E8" s="1" t="s">
        <v>1969</v>
      </c>
      <c r="F8" s="1" t="s">
        <v>1509</v>
      </c>
      <c r="G8" s="1" t="s">
        <v>74</v>
      </c>
      <c r="H8" s="1" t="s">
        <v>4</v>
      </c>
    </row>
    <row r="9">
      <c r="A9" s="1" t="s">
        <v>8</v>
      </c>
      <c r="B9" s="1" t="s">
        <v>3659</v>
      </c>
      <c r="C9" s="1" t="s">
        <v>3677</v>
      </c>
      <c r="D9" s="1" t="s">
        <v>3678</v>
      </c>
      <c r="E9" s="1" t="s">
        <v>3679</v>
      </c>
      <c r="F9" s="1" t="s">
        <v>3680</v>
      </c>
      <c r="G9" s="1" t="s">
        <v>3681</v>
      </c>
      <c r="H9" s="1" t="s">
        <v>5</v>
      </c>
    </row>
    <row r="10">
      <c r="A10" s="1" t="s">
        <v>8</v>
      </c>
      <c r="B10" s="1" t="s">
        <v>3659</v>
      </c>
      <c r="C10" s="1" t="s">
        <v>3682</v>
      </c>
      <c r="D10" s="1">
        <v>2.0</v>
      </c>
      <c r="E10" s="1">
        <v>3.0</v>
      </c>
      <c r="F10" s="1">
        <v>5.0</v>
      </c>
      <c r="G10" s="1">
        <v>1.0</v>
      </c>
      <c r="H10" s="1" t="s">
        <v>4</v>
      </c>
    </row>
    <row r="11">
      <c r="A11" s="1" t="s">
        <v>8</v>
      </c>
      <c r="B11" s="1" t="s">
        <v>3659</v>
      </c>
      <c r="C11" s="1" t="s">
        <v>3683</v>
      </c>
      <c r="D11" s="1">
        <v>1.0</v>
      </c>
      <c r="E11" s="1">
        <v>2.0</v>
      </c>
      <c r="F11" s="1">
        <v>3.0</v>
      </c>
      <c r="G11" s="1" t="s">
        <v>417</v>
      </c>
      <c r="H11" s="1" t="s">
        <v>4</v>
      </c>
    </row>
    <row r="12">
      <c r="A12" s="1" t="s">
        <v>8</v>
      </c>
      <c r="B12" s="1" t="s">
        <v>3659</v>
      </c>
      <c r="C12" s="1" t="s">
        <v>3684</v>
      </c>
      <c r="D12" s="1" t="s">
        <v>3042</v>
      </c>
      <c r="E12" s="1" t="s">
        <v>3043</v>
      </c>
      <c r="F12" s="1" t="s">
        <v>3044</v>
      </c>
      <c r="G12" s="1" t="s">
        <v>3426</v>
      </c>
      <c r="H12" s="1" t="s">
        <v>5</v>
      </c>
    </row>
    <row r="13">
      <c r="A13" s="1" t="s">
        <v>8</v>
      </c>
      <c r="B13" s="1" t="s">
        <v>3659</v>
      </c>
      <c r="C13" s="1" t="s">
        <v>3685</v>
      </c>
      <c r="D13" s="1" t="s">
        <v>3686</v>
      </c>
      <c r="E13" s="1" t="s">
        <v>3687</v>
      </c>
      <c r="F13" s="1" t="s">
        <v>3688</v>
      </c>
      <c r="G13" s="1" t="s">
        <v>3689</v>
      </c>
      <c r="H13" s="1" t="s">
        <v>5</v>
      </c>
    </row>
    <row r="14">
      <c r="A14" s="1" t="s">
        <v>8</v>
      </c>
      <c r="B14" s="1" t="s">
        <v>3659</v>
      </c>
      <c r="C14" s="1" t="s">
        <v>3690</v>
      </c>
      <c r="D14" s="1" t="s">
        <v>3691</v>
      </c>
      <c r="E14" s="1" t="s">
        <v>3692</v>
      </c>
      <c r="F14" s="1" t="s">
        <v>3693</v>
      </c>
      <c r="G14" s="1" t="s">
        <v>3694</v>
      </c>
      <c r="H14" s="1" t="s">
        <v>5</v>
      </c>
    </row>
    <row r="15">
      <c r="A15" s="1" t="s">
        <v>8</v>
      </c>
      <c r="B15" s="1" t="s">
        <v>3659</v>
      </c>
      <c r="C15" s="1" t="s">
        <v>3695</v>
      </c>
      <c r="D15" s="1" t="s">
        <v>2044</v>
      </c>
      <c r="E15" s="1" t="s">
        <v>1906</v>
      </c>
      <c r="F15" s="1" t="s">
        <v>2162</v>
      </c>
      <c r="G15" s="1" t="s">
        <v>2146</v>
      </c>
      <c r="H15" s="1" t="s">
        <v>3</v>
      </c>
    </row>
    <row r="16">
      <c r="A16" s="1" t="s">
        <v>8</v>
      </c>
      <c r="B16" s="1" t="s">
        <v>3659</v>
      </c>
      <c r="C16" s="1" t="s">
        <v>3696</v>
      </c>
      <c r="D16" s="1" t="s">
        <v>3697</v>
      </c>
      <c r="E16" s="1" t="s">
        <v>3698</v>
      </c>
      <c r="F16" s="1" t="s">
        <v>3699</v>
      </c>
      <c r="G16" s="1" t="s">
        <v>3700</v>
      </c>
      <c r="H16" s="1" t="s">
        <v>3</v>
      </c>
    </row>
    <row r="17">
      <c r="A17" s="1" t="s">
        <v>8</v>
      </c>
      <c r="B17" s="1" t="s">
        <v>3659</v>
      </c>
      <c r="C17" s="1" t="s">
        <v>3701</v>
      </c>
      <c r="D17" s="1" t="s">
        <v>3044</v>
      </c>
      <c r="E17" s="1" t="s">
        <v>3042</v>
      </c>
      <c r="F17" s="1" t="s">
        <v>3043</v>
      </c>
      <c r="G17" s="1" t="s">
        <v>3460</v>
      </c>
      <c r="H17" s="1" t="s">
        <v>5</v>
      </c>
    </row>
    <row r="18">
      <c r="A18" s="1" t="s">
        <v>8</v>
      </c>
      <c r="B18" s="1" t="s">
        <v>3659</v>
      </c>
      <c r="C18" s="1" t="s">
        <v>3702</v>
      </c>
      <c r="D18" s="1" t="s">
        <v>3680</v>
      </c>
      <c r="E18" s="1" t="s">
        <v>3703</v>
      </c>
      <c r="F18" s="1" t="s">
        <v>3679</v>
      </c>
      <c r="G18" s="1" t="s">
        <v>3704</v>
      </c>
      <c r="H18" s="1" t="s">
        <v>4</v>
      </c>
    </row>
    <row r="19">
      <c r="A19" s="1" t="s">
        <v>8</v>
      </c>
      <c r="B19" s="1" t="s">
        <v>3659</v>
      </c>
      <c r="C19" s="1" t="s">
        <v>3705</v>
      </c>
      <c r="D19" s="1" t="s">
        <v>3678</v>
      </c>
      <c r="E19" s="1" t="s">
        <v>3706</v>
      </c>
      <c r="F19" s="1" t="s">
        <v>3703</v>
      </c>
      <c r="G19" s="1" t="s">
        <v>3681</v>
      </c>
      <c r="H19" s="1" t="s">
        <v>4</v>
      </c>
    </row>
    <row r="20">
      <c r="A20" s="1" t="s">
        <v>8</v>
      </c>
      <c r="B20" s="1" t="s">
        <v>3659</v>
      </c>
      <c r="C20" s="1" t="s">
        <v>3707</v>
      </c>
      <c r="D20" s="1" t="s">
        <v>1925</v>
      </c>
      <c r="E20" s="1" t="s">
        <v>938</v>
      </c>
      <c r="F20" s="1" t="s">
        <v>1191</v>
      </c>
      <c r="G20" s="1" t="s">
        <v>22</v>
      </c>
      <c r="H20" s="1" t="s">
        <v>5</v>
      </c>
    </row>
    <row r="21">
      <c r="A21" s="1" t="s">
        <v>8</v>
      </c>
      <c r="B21" s="1" t="s">
        <v>3659</v>
      </c>
      <c r="C21" s="1" t="s">
        <v>3708</v>
      </c>
      <c r="D21" s="1">
        <v>1.0</v>
      </c>
      <c r="E21" s="1">
        <v>2.0</v>
      </c>
      <c r="F21" s="1" t="s">
        <v>417</v>
      </c>
      <c r="G21" s="1">
        <v>0.0</v>
      </c>
      <c r="H21" s="1" t="s">
        <v>6</v>
      </c>
    </row>
    <row r="22">
      <c r="A22" s="1" t="s">
        <v>8</v>
      </c>
      <c r="B22" s="1" t="s">
        <v>3659</v>
      </c>
      <c r="C22" s="1" t="s">
        <v>3709</v>
      </c>
      <c r="D22" s="1" t="s">
        <v>3710</v>
      </c>
      <c r="E22" s="1" t="s">
        <v>3711</v>
      </c>
      <c r="F22" s="1" t="s">
        <v>3712</v>
      </c>
      <c r="G22" s="1" t="s">
        <v>22</v>
      </c>
      <c r="H22" s="1" t="s">
        <v>4</v>
      </c>
    </row>
    <row r="23">
      <c r="A23" s="1" t="s">
        <v>8</v>
      </c>
      <c r="B23" s="1" t="s">
        <v>3659</v>
      </c>
      <c r="C23" s="1" t="s">
        <v>3713</v>
      </c>
      <c r="D23" s="1" t="s">
        <v>3426</v>
      </c>
      <c r="E23" s="1" t="s">
        <v>3460</v>
      </c>
      <c r="F23" s="1" t="s">
        <v>3041</v>
      </c>
      <c r="G23" s="1" t="s">
        <v>3042</v>
      </c>
      <c r="H23" s="1" t="s">
        <v>4</v>
      </c>
    </row>
    <row r="24">
      <c r="A24" s="1" t="s">
        <v>8</v>
      </c>
      <c r="B24" s="1" t="s">
        <v>3659</v>
      </c>
      <c r="C24" s="1" t="s">
        <v>3714</v>
      </c>
      <c r="D24" s="1" t="s">
        <v>3715</v>
      </c>
      <c r="E24" s="1" t="s">
        <v>3716</v>
      </c>
      <c r="F24" s="1" t="s">
        <v>3717</v>
      </c>
      <c r="G24" s="1" t="s">
        <v>3718</v>
      </c>
      <c r="H24" s="1" t="s">
        <v>3</v>
      </c>
    </row>
    <row r="25">
      <c r="A25" s="1" t="s">
        <v>8</v>
      </c>
      <c r="B25" s="1" t="s">
        <v>3659</v>
      </c>
      <c r="C25" s="1" t="s">
        <v>3719</v>
      </c>
      <c r="D25" s="1" t="s">
        <v>3720</v>
      </c>
      <c r="E25" s="1" t="s">
        <v>2119</v>
      </c>
      <c r="F25" s="1" t="s">
        <v>3721</v>
      </c>
      <c r="G25" s="1" t="s">
        <v>22</v>
      </c>
      <c r="H25" s="1" t="s">
        <v>3</v>
      </c>
    </row>
    <row r="26">
      <c r="A26" s="1" t="s">
        <v>8</v>
      </c>
      <c r="B26" s="1" t="s">
        <v>3659</v>
      </c>
      <c r="C26" s="1" t="s">
        <v>3722</v>
      </c>
      <c r="D26" s="1">
        <v>4.0</v>
      </c>
      <c r="E26" s="1">
        <v>3.0</v>
      </c>
      <c r="F26" s="1">
        <v>7.0</v>
      </c>
      <c r="G26" s="1">
        <v>12.0</v>
      </c>
      <c r="H26" s="1" t="s">
        <v>5</v>
      </c>
    </row>
    <row r="27">
      <c r="A27" s="1" t="s">
        <v>8</v>
      </c>
      <c r="B27" s="1" t="s">
        <v>3659</v>
      </c>
      <c r="C27" s="1" t="s">
        <v>3723</v>
      </c>
      <c r="D27" s="1" t="s">
        <v>3724</v>
      </c>
      <c r="E27" s="1" t="s">
        <v>3725</v>
      </c>
      <c r="F27" s="1" t="s">
        <v>3726</v>
      </c>
      <c r="G27" s="1" t="s">
        <v>3727</v>
      </c>
      <c r="H27" s="1" t="s">
        <v>4</v>
      </c>
    </row>
    <row r="28">
      <c r="A28" s="1" t="s">
        <v>8</v>
      </c>
      <c r="B28" s="1" t="s">
        <v>3659</v>
      </c>
      <c r="C28" s="1" t="s">
        <v>3728</v>
      </c>
      <c r="D28" s="1" t="s">
        <v>3043</v>
      </c>
      <c r="E28" s="1" t="s">
        <v>3042</v>
      </c>
      <c r="F28" s="1" t="s">
        <v>3041</v>
      </c>
      <c r="G28" s="1" t="s">
        <v>3044</v>
      </c>
      <c r="H28" s="1" t="s">
        <v>5</v>
      </c>
    </row>
    <row r="29">
      <c r="A29" s="1" t="s">
        <v>8</v>
      </c>
      <c r="B29" s="1" t="s">
        <v>3659</v>
      </c>
      <c r="C29" s="1" t="s">
        <v>3729</v>
      </c>
      <c r="D29" s="1" t="s">
        <v>2162</v>
      </c>
      <c r="E29" s="1" t="s">
        <v>2044</v>
      </c>
      <c r="F29" s="1" t="s">
        <v>1906</v>
      </c>
      <c r="G29" s="1" t="s">
        <v>3450</v>
      </c>
      <c r="H29" s="1" t="s">
        <v>4</v>
      </c>
    </row>
    <row r="30">
      <c r="A30" s="1" t="s">
        <v>8</v>
      </c>
      <c r="B30" s="1" t="s">
        <v>3659</v>
      </c>
      <c r="C30" s="1" t="s">
        <v>3730</v>
      </c>
      <c r="D30" s="1" t="s">
        <v>3731</v>
      </c>
      <c r="E30" s="1" t="s">
        <v>3732</v>
      </c>
      <c r="F30" s="1" t="s">
        <v>3733</v>
      </c>
      <c r="G30" s="1" t="s">
        <v>3734</v>
      </c>
      <c r="H30" s="1" t="s">
        <v>4</v>
      </c>
    </row>
    <row r="31">
      <c r="A31" s="1" t="s">
        <v>8</v>
      </c>
      <c r="B31" s="1" t="s">
        <v>3659</v>
      </c>
      <c r="C31" s="1" t="s">
        <v>3735</v>
      </c>
      <c r="D31" s="1" t="s">
        <v>1920</v>
      </c>
      <c r="E31" s="1" t="s">
        <v>1918</v>
      </c>
      <c r="F31" s="1" t="s">
        <v>1919</v>
      </c>
      <c r="G31" s="1" t="s">
        <v>1966</v>
      </c>
      <c r="H31" s="1" t="s">
        <v>5</v>
      </c>
    </row>
    <row r="32">
      <c r="A32" s="1" t="s">
        <v>8</v>
      </c>
      <c r="B32" s="1" t="s">
        <v>3659</v>
      </c>
      <c r="C32" s="1" t="s">
        <v>3736</v>
      </c>
      <c r="D32" s="1" t="s">
        <v>3737</v>
      </c>
      <c r="E32" s="1" t="s">
        <v>3738</v>
      </c>
      <c r="F32" s="1" t="s">
        <v>3450</v>
      </c>
      <c r="G32" s="1" t="s">
        <v>3739</v>
      </c>
      <c r="H32" s="1" t="s">
        <v>4</v>
      </c>
    </row>
    <row r="33">
      <c r="A33" s="1" t="s">
        <v>8</v>
      </c>
      <c r="B33" s="1" t="s">
        <v>3659</v>
      </c>
      <c r="C33" s="1" t="s">
        <v>3740</v>
      </c>
      <c r="D33" s="1" t="s">
        <v>3741</v>
      </c>
      <c r="E33" s="1" t="s">
        <v>3742</v>
      </c>
      <c r="F33" s="1" t="s">
        <v>3743</v>
      </c>
      <c r="G33" s="1" t="s">
        <v>3744</v>
      </c>
      <c r="H33" s="1" t="s">
        <v>3</v>
      </c>
    </row>
    <row r="34">
      <c r="A34" s="1" t="s">
        <v>8</v>
      </c>
      <c r="B34" s="1" t="s">
        <v>3659</v>
      </c>
      <c r="C34" s="1" t="s">
        <v>3745</v>
      </c>
      <c r="D34" s="1" t="s">
        <v>3746</v>
      </c>
      <c r="E34" s="1" t="s">
        <v>3710</v>
      </c>
      <c r="F34" s="1" t="s">
        <v>3747</v>
      </c>
      <c r="G34" s="1" t="s">
        <v>3748</v>
      </c>
      <c r="H34" s="1" t="s">
        <v>4</v>
      </c>
    </row>
    <row r="35">
      <c r="A35" s="1" t="s">
        <v>8</v>
      </c>
      <c r="B35" s="1" t="s">
        <v>3659</v>
      </c>
      <c r="C35" s="1" t="s">
        <v>3749</v>
      </c>
      <c r="D35" s="1" t="s">
        <v>3750</v>
      </c>
      <c r="E35" s="1" t="s">
        <v>3751</v>
      </c>
      <c r="F35" s="1" t="s">
        <v>3752</v>
      </c>
      <c r="G35" s="1" t="s">
        <v>3753</v>
      </c>
      <c r="H35" s="1" t="s">
        <v>4</v>
      </c>
    </row>
    <row r="36">
      <c r="A36" s="1" t="s">
        <v>8</v>
      </c>
      <c r="B36" s="1" t="s">
        <v>3659</v>
      </c>
      <c r="C36" s="1" t="s">
        <v>3754</v>
      </c>
      <c r="D36" s="1" t="s">
        <v>3755</v>
      </c>
      <c r="E36" s="1" t="s">
        <v>3756</v>
      </c>
      <c r="F36" s="1" t="s">
        <v>3757</v>
      </c>
      <c r="G36" s="1" t="s">
        <v>2938</v>
      </c>
      <c r="H36" s="1" t="s">
        <v>5</v>
      </c>
    </row>
    <row r="37">
      <c r="A37" s="1" t="s">
        <v>8</v>
      </c>
      <c r="B37" s="1" t="s">
        <v>3659</v>
      </c>
      <c r="C37" s="1" t="s">
        <v>3758</v>
      </c>
      <c r="D37" s="1">
        <v>3.0</v>
      </c>
      <c r="E37" s="1">
        <v>5.0</v>
      </c>
      <c r="F37" s="1">
        <v>8.0</v>
      </c>
      <c r="G37" s="1">
        <v>2.0</v>
      </c>
      <c r="H37" s="1" t="s">
        <v>5</v>
      </c>
    </row>
    <row r="38">
      <c r="A38" s="1" t="s">
        <v>8</v>
      </c>
      <c r="B38" s="1" t="s">
        <v>3659</v>
      </c>
      <c r="C38" s="1" t="s">
        <v>3759</v>
      </c>
      <c r="D38" s="1" t="s">
        <v>3760</v>
      </c>
      <c r="E38" s="1" t="s">
        <v>3761</v>
      </c>
      <c r="F38" s="1" t="s">
        <v>3762</v>
      </c>
      <c r="G38" s="1" t="s">
        <v>3763</v>
      </c>
      <c r="H38" s="1" t="s">
        <v>4</v>
      </c>
    </row>
    <row r="39">
      <c r="A39" s="1" t="s">
        <v>8</v>
      </c>
      <c r="B39" s="1" t="s">
        <v>3659</v>
      </c>
      <c r="C39" s="1" t="s">
        <v>3764</v>
      </c>
      <c r="D39" s="1" t="s">
        <v>3765</v>
      </c>
      <c r="E39" s="1" t="s">
        <v>3766</v>
      </c>
      <c r="F39" s="1" t="s">
        <v>3767</v>
      </c>
      <c r="G39" s="1" t="s">
        <v>3768</v>
      </c>
      <c r="H39" s="1" t="s">
        <v>3</v>
      </c>
    </row>
    <row r="40">
      <c r="A40" s="1" t="s">
        <v>8</v>
      </c>
      <c r="B40" s="1" t="s">
        <v>3659</v>
      </c>
      <c r="C40" s="1" t="s">
        <v>3769</v>
      </c>
      <c r="D40" s="1">
        <v>3.0</v>
      </c>
      <c r="E40" s="1">
        <v>4.0</v>
      </c>
      <c r="F40" s="1">
        <v>7.0</v>
      </c>
      <c r="G40" s="1">
        <v>1.0</v>
      </c>
      <c r="H40" s="1" t="s">
        <v>4</v>
      </c>
    </row>
    <row r="41">
      <c r="A41" s="1" t="s">
        <v>8</v>
      </c>
      <c r="B41" s="1" t="s">
        <v>3659</v>
      </c>
      <c r="C41" s="1" t="s">
        <v>3770</v>
      </c>
      <c r="D41" s="1" t="s">
        <v>3771</v>
      </c>
      <c r="E41" s="1" t="s">
        <v>2162</v>
      </c>
      <c r="F41" s="1" t="s">
        <v>3772</v>
      </c>
      <c r="G41" s="1" t="s">
        <v>3773</v>
      </c>
      <c r="H41" s="1" t="s">
        <v>3</v>
      </c>
    </row>
    <row r="42">
      <c r="A42" s="1" t="s">
        <v>8</v>
      </c>
      <c r="B42" s="1" t="s">
        <v>3659</v>
      </c>
      <c r="C42" s="1" t="s">
        <v>3774</v>
      </c>
      <c r="D42" s="1" t="s">
        <v>1904</v>
      </c>
      <c r="E42" s="1" t="s">
        <v>3775</v>
      </c>
      <c r="F42" s="1" t="s">
        <v>3776</v>
      </c>
      <c r="G42" s="1" t="s">
        <v>2146</v>
      </c>
      <c r="H42" s="1" t="s">
        <v>5</v>
      </c>
    </row>
    <row r="43">
      <c r="A43" s="1" t="s">
        <v>8</v>
      </c>
      <c r="B43" s="1" t="s">
        <v>3659</v>
      </c>
      <c r="C43" s="1" t="s">
        <v>3777</v>
      </c>
      <c r="D43" s="1" t="s">
        <v>3778</v>
      </c>
      <c r="E43" s="1" t="s">
        <v>3779</v>
      </c>
      <c r="F43" s="1" t="s">
        <v>3780</v>
      </c>
      <c r="G43" s="1" t="s">
        <v>3781</v>
      </c>
      <c r="H43" s="1" t="s">
        <v>5</v>
      </c>
    </row>
    <row r="44">
      <c r="A44" s="1" t="s">
        <v>8</v>
      </c>
      <c r="B44" s="1" t="s">
        <v>3659</v>
      </c>
      <c r="C44" s="1" t="s">
        <v>3782</v>
      </c>
      <c r="D44" s="1">
        <v>2.0</v>
      </c>
      <c r="E44" s="1">
        <v>3.0</v>
      </c>
      <c r="F44" s="1">
        <v>5.0</v>
      </c>
      <c r="G44" s="1">
        <v>1.0</v>
      </c>
      <c r="H44" s="1" t="s">
        <v>4</v>
      </c>
    </row>
    <row r="45">
      <c r="A45" s="1" t="s">
        <v>8</v>
      </c>
      <c r="B45" s="1" t="s">
        <v>3659</v>
      </c>
      <c r="C45" s="1" t="s">
        <v>3783</v>
      </c>
      <c r="D45" s="1" t="s">
        <v>3043</v>
      </c>
      <c r="E45" s="1" t="s">
        <v>3460</v>
      </c>
      <c r="F45" s="1" t="s">
        <v>3426</v>
      </c>
      <c r="G45" s="1" t="s">
        <v>3442</v>
      </c>
      <c r="H45" s="1" t="s">
        <v>4</v>
      </c>
    </row>
    <row r="46">
      <c r="A46" s="1" t="s">
        <v>8</v>
      </c>
      <c r="B46" s="1" t="s">
        <v>3659</v>
      </c>
      <c r="C46" s="1" t="s">
        <v>3784</v>
      </c>
      <c r="D46" s="1" t="s">
        <v>3785</v>
      </c>
      <c r="E46" s="1" t="s">
        <v>3786</v>
      </c>
      <c r="F46" s="1" t="s">
        <v>3787</v>
      </c>
      <c r="G46" s="1" t="s">
        <v>3788</v>
      </c>
      <c r="H46" s="1" t="s">
        <v>3</v>
      </c>
    </row>
    <row r="47">
      <c r="A47" s="1" t="s">
        <v>8</v>
      </c>
      <c r="B47" s="1" t="s">
        <v>3659</v>
      </c>
      <c r="C47" s="1" t="s">
        <v>3789</v>
      </c>
      <c r="D47" s="1" t="s">
        <v>2138</v>
      </c>
      <c r="E47" s="1" t="s">
        <v>2137</v>
      </c>
      <c r="F47" s="1" t="s">
        <v>1509</v>
      </c>
      <c r="G47" s="1" t="s">
        <v>3790</v>
      </c>
      <c r="H47" s="1" t="s">
        <v>4</v>
      </c>
    </row>
    <row r="48">
      <c r="A48" s="1" t="s">
        <v>8</v>
      </c>
      <c r="B48" s="1" t="s">
        <v>3659</v>
      </c>
      <c r="C48" s="1" t="s">
        <v>3791</v>
      </c>
      <c r="D48" s="1" t="s">
        <v>3044</v>
      </c>
      <c r="E48" s="1" t="s">
        <v>3426</v>
      </c>
      <c r="F48" s="1" t="s">
        <v>3478</v>
      </c>
      <c r="G48" s="1" t="s">
        <v>3042</v>
      </c>
      <c r="H48" s="1" t="s">
        <v>4</v>
      </c>
    </row>
    <row r="49">
      <c r="A49" s="1" t="s">
        <v>8</v>
      </c>
      <c r="B49" s="1" t="s">
        <v>3659</v>
      </c>
      <c r="C49" s="1" t="s">
        <v>3792</v>
      </c>
      <c r="D49" s="1" t="s">
        <v>3043</v>
      </c>
      <c r="E49" s="1" t="s">
        <v>3042</v>
      </c>
      <c r="F49" s="1" t="s">
        <v>3041</v>
      </c>
      <c r="G49" s="1" t="s">
        <v>3044</v>
      </c>
      <c r="H49" s="1" t="s">
        <v>5</v>
      </c>
    </row>
    <row r="50">
      <c r="A50" s="1" t="s">
        <v>8</v>
      </c>
      <c r="B50" s="1" t="s">
        <v>3659</v>
      </c>
      <c r="C50" s="1" t="s">
        <v>3793</v>
      </c>
      <c r="D50" s="1" t="s">
        <v>1975</v>
      </c>
      <c r="E50" s="1" t="s">
        <v>1234</v>
      </c>
      <c r="F50" s="1" t="s">
        <v>3794</v>
      </c>
      <c r="G50" s="1" t="s">
        <v>3795</v>
      </c>
      <c r="H50" s="1" t="s">
        <v>4</v>
      </c>
    </row>
    <row r="51">
      <c r="A51" s="1" t="s">
        <v>8</v>
      </c>
      <c r="B51" s="1" t="s">
        <v>3659</v>
      </c>
      <c r="C51" s="1" t="s">
        <v>3796</v>
      </c>
      <c r="D51" s="1" t="s">
        <v>3044</v>
      </c>
      <c r="E51" s="1" t="s">
        <v>3426</v>
      </c>
      <c r="F51" s="1" t="s">
        <v>3441</v>
      </c>
      <c r="G51" s="1" t="s">
        <v>3478</v>
      </c>
      <c r="H51" s="1" t="s">
        <v>4</v>
      </c>
    </row>
    <row r="52">
      <c r="A52" s="1" t="s">
        <v>8</v>
      </c>
      <c r="B52" s="1" t="s">
        <v>3659</v>
      </c>
      <c r="C52" s="1" t="s">
        <v>3797</v>
      </c>
      <c r="D52" s="1" t="s">
        <v>3798</v>
      </c>
      <c r="E52" s="1" t="s">
        <v>3799</v>
      </c>
      <c r="F52" s="1" t="s">
        <v>3800</v>
      </c>
      <c r="G52" s="1" t="s">
        <v>3801</v>
      </c>
      <c r="H52" s="1" t="s">
        <v>3</v>
      </c>
    </row>
    <row r="53">
      <c r="A53" s="1" t="s">
        <v>8</v>
      </c>
      <c r="B53" s="1" t="s">
        <v>3659</v>
      </c>
      <c r="C53" s="1" t="s">
        <v>3802</v>
      </c>
      <c r="D53" s="1" t="s">
        <v>3803</v>
      </c>
      <c r="E53" s="1" t="s">
        <v>3804</v>
      </c>
      <c r="F53" s="1" t="s">
        <v>3805</v>
      </c>
      <c r="G53" s="1" t="s">
        <v>22</v>
      </c>
      <c r="H53" s="1" t="s">
        <v>5</v>
      </c>
    </row>
    <row r="54">
      <c r="A54" s="1" t="s">
        <v>8</v>
      </c>
      <c r="B54" s="1" t="s">
        <v>3659</v>
      </c>
      <c r="C54" s="1" t="s">
        <v>3806</v>
      </c>
      <c r="D54" s="1" t="s">
        <v>3807</v>
      </c>
      <c r="E54" s="1" t="s">
        <v>3808</v>
      </c>
      <c r="F54" s="1" t="s">
        <v>3809</v>
      </c>
      <c r="G54" s="1" t="s">
        <v>3810</v>
      </c>
      <c r="H54" s="1" t="s">
        <v>4</v>
      </c>
    </row>
    <row r="55">
      <c r="A55" s="1" t="s">
        <v>8</v>
      </c>
      <c r="B55" s="1" t="s">
        <v>3659</v>
      </c>
      <c r="C55" s="1" t="s">
        <v>3811</v>
      </c>
      <c r="D55" s="1" t="s">
        <v>3686</v>
      </c>
      <c r="E55" s="1" t="s">
        <v>3812</v>
      </c>
      <c r="F55" s="1" t="s">
        <v>3688</v>
      </c>
      <c r="G55" s="1" t="s">
        <v>3689</v>
      </c>
      <c r="H55" s="1" t="s">
        <v>5</v>
      </c>
    </row>
    <row r="56">
      <c r="A56" s="1" t="s">
        <v>8</v>
      </c>
      <c r="B56" s="1" t="s">
        <v>3659</v>
      </c>
      <c r="C56" s="1" t="s">
        <v>3813</v>
      </c>
      <c r="D56" s="1" t="s">
        <v>3481</v>
      </c>
      <c r="E56" s="1" t="s">
        <v>1906</v>
      </c>
      <c r="F56" s="1" t="s">
        <v>2163</v>
      </c>
      <c r="G56" s="1" t="s">
        <v>2147</v>
      </c>
      <c r="H56" s="1" t="s">
        <v>4</v>
      </c>
    </row>
    <row r="57">
      <c r="A57" s="1" t="s">
        <v>8</v>
      </c>
      <c r="B57" s="1" t="s">
        <v>3659</v>
      </c>
      <c r="C57" s="1" t="s">
        <v>3814</v>
      </c>
      <c r="D57" s="1" t="s">
        <v>1970</v>
      </c>
      <c r="E57" s="1" t="s">
        <v>1969</v>
      </c>
      <c r="F57" s="1" t="s">
        <v>1509</v>
      </c>
      <c r="G57" s="1" t="s">
        <v>3815</v>
      </c>
      <c r="H57" s="1" t="s">
        <v>4</v>
      </c>
    </row>
    <row r="58">
      <c r="A58" s="1" t="s">
        <v>8</v>
      </c>
      <c r="B58" s="1" t="s">
        <v>3659</v>
      </c>
      <c r="C58" s="1" t="s">
        <v>3816</v>
      </c>
      <c r="D58" s="1" t="s">
        <v>3817</v>
      </c>
      <c r="E58" s="1" t="s">
        <v>3818</v>
      </c>
      <c r="F58" s="1" t="s">
        <v>3819</v>
      </c>
      <c r="G58" s="1" t="s">
        <v>74</v>
      </c>
      <c r="H58" s="1" t="s">
        <v>5</v>
      </c>
    </row>
    <row r="59">
      <c r="A59" s="1" t="s">
        <v>8</v>
      </c>
      <c r="B59" s="1" t="s">
        <v>3659</v>
      </c>
      <c r="C59" s="1" t="s">
        <v>3820</v>
      </c>
      <c r="D59" s="1" t="s">
        <v>3821</v>
      </c>
      <c r="E59" s="1" t="s">
        <v>3822</v>
      </c>
      <c r="F59" s="1" t="s">
        <v>3823</v>
      </c>
      <c r="G59" s="1" t="s">
        <v>3824</v>
      </c>
      <c r="H59" s="1" t="s">
        <v>3</v>
      </c>
    </row>
    <row r="60">
      <c r="A60" s="1" t="s">
        <v>8</v>
      </c>
      <c r="B60" s="1" t="s">
        <v>3659</v>
      </c>
      <c r="C60" s="1" t="s">
        <v>3825</v>
      </c>
      <c r="D60" s="1" t="s">
        <v>3710</v>
      </c>
      <c r="E60" s="1" t="s">
        <v>3746</v>
      </c>
      <c r="F60" s="1" t="s">
        <v>3826</v>
      </c>
      <c r="G60" s="1" t="s">
        <v>3827</v>
      </c>
      <c r="H60" s="1" t="s">
        <v>5</v>
      </c>
    </row>
    <row r="61">
      <c r="A61" s="1" t="s">
        <v>8</v>
      </c>
      <c r="B61" s="1" t="s">
        <v>3659</v>
      </c>
      <c r="C61" s="1" t="s">
        <v>3828</v>
      </c>
      <c r="D61" s="1" t="s">
        <v>3460</v>
      </c>
      <c r="E61" s="1" t="s">
        <v>3426</v>
      </c>
      <c r="F61" s="1" t="s">
        <v>3043</v>
      </c>
      <c r="G61" s="1" t="s">
        <v>3042</v>
      </c>
      <c r="H61" s="1" t="s">
        <v>4</v>
      </c>
    </row>
    <row r="62">
      <c r="A62" s="1" t="s">
        <v>8</v>
      </c>
      <c r="B62" s="1" t="s">
        <v>3659</v>
      </c>
      <c r="C62" s="1" t="s">
        <v>3829</v>
      </c>
      <c r="D62" s="1" t="s">
        <v>3830</v>
      </c>
      <c r="E62" s="1" t="s">
        <v>3831</v>
      </c>
      <c r="F62" s="1" t="s">
        <v>3832</v>
      </c>
      <c r="G62" s="1" t="s">
        <v>3833</v>
      </c>
      <c r="H62" s="1" t="s">
        <v>4</v>
      </c>
    </row>
    <row r="63">
      <c r="A63" s="1" t="s">
        <v>8</v>
      </c>
      <c r="B63" s="1" t="s">
        <v>3659</v>
      </c>
      <c r="C63" s="1" t="s">
        <v>3834</v>
      </c>
      <c r="D63" s="1" t="s">
        <v>2282</v>
      </c>
      <c r="E63" s="1" t="s">
        <v>3835</v>
      </c>
      <c r="F63" s="1" t="s">
        <v>2193</v>
      </c>
      <c r="G63" s="1" t="s">
        <v>3836</v>
      </c>
      <c r="H63" s="1" t="s">
        <v>4</v>
      </c>
    </row>
    <row r="64">
      <c r="A64" s="1" t="s">
        <v>8</v>
      </c>
      <c r="B64" s="1" t="s">
        <v>3659</v>
      </c>
      <c r="C64" s="1" t="s">
        <v>3837</v>
      </c>
      <c r="D64" s="1" t="s">
        <v>2273</v>
      </c>
      <c r="E64" s="1" t="s">
        <v>3544</v>
      </c>
      <c r="F64" s="1" t="s">
        <v>3838</v>
      </c>
      <c r="G64" s="1" t="s">
        <v>3839</v>
      </c>
      <c r="H64" s="1" t="s">
        <v>5</v>
      </c>
    </row>
    <row r="65">
      <c r="A65" s="1" t="s">
        <v>8</v>
      </c>
      <c r="B65" s="1" t="s">
        <v>3659</v>
      </c>
      <c r="C65" s="1" t="s">
        <v>3840</v>
      </c>
      <c r="D65" s="1" t="s">
        <v>1975</v>
      </c>
      <c r="E65" s="1" t="s">
        <v>1234</v>
      </c>
      <c r="F65" s="1" t="s">
        <v>3841</v>
      </c>
      <c r="G65" s="1" t="s">
        <v>2938</v>
      </c>
      <c r="H65" s="1" t="s">
        <v>4</v>
      </c>
    </row>
    <row r="66">
      <c r="A66" s="1" t="s">
        <v>8</v>
      </c>
      <c r="B66" s="1" t="s">
        <v>3659</v>
      </c>
      <c r="C66" s="1" t="s">
        <v>3842</v>
      </c>
      <c r="D66" s="1" t="s">
        <v>3697</v>
      </c>
      <c r="E66" s="1" t="s">
        <v>3698</v>
      </c>
      <c r="F66" s="1" t="s">
        <v>3699</v>
      </c>
      <c r="G66" s="1" t="s">
        <v>3700</v>
      </c>
      <c r="H66" s="1" t="s">
        <v>4</v>
      </c>
    </row>
    <row r="67">
      <c r="A67" s="1" t="s">
        <v>8</v>
      </c>
      <c r="B67" s="1" t="s">
        <v>3659</v>
      </c>
      <c r="C67" s="1" t="s">
        <v>3843</v>
      </c>
      <c r="D67" s="1" t="s">
        <v>1906</v>
      </c>
      <c r="E67" s="1" t="s">
        <v>2147</v>
      </c>
      <c r="F67" s="1" t="s">
        <v>2146</v>
      </c>
      <c r="G67" s="1" t="s">
        <v>2163</v>
      </c>
      <c r="H67" s="1" t="s">
        <v>5</v>
      </c>
    </row>
    <row r="68">
      <c r="A68" s="1" t="s">
        <v>8</v>
      </c>
      <c r="B68" s="1" t="s">
        <v>3659</v>
      </c>
      <c r="C68" s="1" t="s">
        <v>3844</v>
      </c>
      <c r="D68" s="1" t="s">
        <v>71</v>
      </c>
      <c r="E68" s="1" t="s">
        <v>72</v>
      </c>
      <c r="F68" s="1" t="s">
        <v>74</v>
      </c>
      <c r="G68" s="1" t="s">
        <v>3845</v>
      </c>
      <c r="H68" s="1" t="s">
        <v>4</v>
      </c>
    </row>
    <row r="69">
      <c r="A69" s="1" t="s">
        <v>8</v>
      </c>
      <c r="B69" s="1" t="s">
        <v>3659</v>
      </c>
      <c r="C69" s="1" t="s">
        <v>3846</v>
      </c>
      <c r="D69" s="1" t="s">
        <v>3041</v>
      </c>
      <c r="E69" s="1" t="s">
        <v>3043</v>
      </c>
      <c r="F69" s="1" t="s">
        <v>3044</v>
      </c>
      <c r="G69" s="1" t="s">
        <v>3460</v>
      </c>
      <c r="H69" s="1" t="s">
        <v>5</v>
      </c>
    </row>
    <row r="70">
      <c r="A70" s="1" t="s">
        <v>8</v>
      </c>
      <c r="B70" s="1" t="s">
        <v>3659</v>
      </c>
      <c r="C70" s="12" t="s">
        <v>3847</v>
      </c>
      <c r="D70" s="1" t="s">
        <v>3848</v>
      </c>
      <c r="E70" s="1" t="s">
        <v>3849</v>
      </c>
      <c r="F70" s="1" t="s">
        <v>3850</v>
      </c>
      <c r="G70" s="1" t="s">
        <v>3851</v>
      </c>
      <c r="H70" s="1" t="s">
        <v>4</v>
      </c>
    </row>
    <row r="71">
      <c r="A71" s="1" t="s">
        <v>8</v>
      </c>
      <c r="B71" s="1" t="s">
        <v>3659</v>
      </c>
      <c r="C71" s="1" t="s">
        <v>3852</v>
      </c>
      <c r="D71" s="1" t="s">
        <v>3853</v>
      </c>
      <c r="E71" s="1" t="s">
        <v>3854</v>
      </c>
      <c r="F71" s="1" t="s">
        <v>3855</v>
      </c>
      <c r="G71" s="1" t="s">
        <v>3856</v>
      </c>
      <c r="H71" s="1" t="s">
        <v>4</v>
      </c>
    </row>
    <row r="72">
      <c r="A72" s="1" t="s">
        <v>8</v>
      </c>
      <c r="B72" s="1" t="s">
        <v>3659</v>
      </c>
      <c r="C72" s="1" t="s">
        <v>3857</v>
      </c>
      <c r="D72" s="1" t="s">
        <v>3858</v>
      </c>
      <c r="E72" s="1" t="s">
        <v>3859</v>
      </c>
      <c r="F72" s="1" t="s">
        <v>3860</v>
      </c>
      <c r="G72" s="1" t="s">
        <v>3861</v>
      </c>
      <c r="H72" s="1" t="s">
        <v>5</v>
      </c>
    </row>
    <row r="73">
      <c r="A73" s="1" t="s">
        <v>8</v>
      </c>
      <c r="B73" s="1" t="s">
        <v>3659</v>
      </c>
      <c r="C73" s="1" t="s">
        <v>3862</v>
      </c>
      <c r="D73" s="1" t="s">
        <v>3863</v>
      </c>
      <c r="E73" s="1" t="s">
        <v>3864</v>
      </c>
      <c r="F73" s="1" t="s">
        <v>3865</v>
      </c>
      <c r="G73" s="1" t="s">
        <v>3866</v>
      </c>
      <c r="H73" s="1" t="s">
        <v>4</v>
      </c>
    </row>
    <row r="74">
      <c r="A74" s="1" t="s">
        <v>8</v>
      </c>
      <c r="B74" s="1" t="s">
        <v>3659</v>
      </c>
      <c r="C74" s="1" t="s">
        <v>3867</v>
      </c>
      <c r="D74" s="1" t="s">
        <v>3868</v>
      </c>
      <c r="E74" s="1" t="s">
        <v>3869</v>
      </c>
      <c r="F74" s="1" t="s">
        <v>3870</v>
      </c>
      <c r="G74" s="1" t="s">
        <v>3871</v>
      </c>
      <c r="H74" s="1" t="s">
        <v>3</v>
      </c>
    </row>
    <row r="75">
      <c r="A75" s="1" t="s">
        <v>8</v>
      </c>
      <c r="B75" s="1" t="s">
        <v>3659</v>
      </c>
      <c r="C75" s="1" t="s">
        <v>3872</v>
      </c>
      <c r="D75" s="1" t="s">
        <v>3873</v>
      </c>
      <c r="E75" s="1" t="s">
        <v>3874</v>
      </c>
      <c r="F75" s="1" t="s">
        <v>3875</v>
      </c>
      <c r="G75" s="1" t="s">
        <v>3876</v>
      </c>
      <c r="H75" s="1" t="s">
        <v>3</v>
      </c>
    </row>
    <row r="76">
      <c r="A76" s="1" t="s">
        <v>8</v>
      </c>
      <c r="B76" s="1" t="s">
        <v>3659</v>
      </c>
      <c r="C76" s="1" t="s">
        <v>3877</v>
      </c>
      <c r="D76" s="1" t="s">
        <v>3878</v>
      </c>
      <c r="E76" s="1" t="s">
        <v>3879</v>
      </c>
      <c r="F76" s="1" t="s">
        <v>3880</v>
      </c>
      <c r="G76" s="1" t="s">
        <v>3881</v>
      </c>
      <c r="H76" s="1" t="s">
        <v>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3882</v>
      </c>
      <c r="C2" s="1" t="s">
        <v>3883</v>
      </c>
      <c r="D2" s="1" t="s">
        <v>3398</v>
      </c>
      <c r="E2" s="1" t="s">
        <v>3399</v>
      </c>
      <c r="F2" s="1" t="s">
        <v>3400</v>
      </c>
      <c r="G2" s="1" t="s">
        <v>3401</v>
      </c>
      <c r="H2" s="1" t="s">
        <v>3</v>
      </c>
    </row>
    <row r="3">
      <c r="A3" s="1" t="s">
        <v>8</v>
      </c>
      <c r="B3" s="1" t="s">
        <v>3882</v>
      </c>
      <c r="C3" s="1" t="s">
        <v>3884</v>
      </c>
      <c r="D3" s="1" t="s">
        <v>3364</v>
      </c>
      <c r="E3" s="1" t="s">
        <v>3885</v>
      </c>
      <c r="F3" s="1" t="s">
        <v>3886</v>
      </c>
      <c r="G3" s="1" t="s">
        <v>3887</v>
      </c>
      <c r="H3" s="1" t="s">
        <v>4</v>
      </c>
    </row>
    <row r="4">
      <c r="A4" s="1" t="s">
        <v>8</v>
      </c>
      <c r="B4" s="1" t="s">
        <v>3882</v>
      </c>
      <c r="C4" s="1" t="s">
        <v>3888</v>
      </c>
      <c r="D4" s="1" t="s">
        <v>3889</v>
      </c>
      <c r="E4" s="1" t="s">
        <v>3890</v>
      </c>
      <c r="F4" s="1" t="s">
        <v>3891</v>
      </c>
      <c r="G4" s="1" t="s">
        <v>22</v>
      </c>
      <c r="H4" s="1" t="s">
        <v>3</v>
      </c>
    </row>
    <row r="5">
      <c r="A5" s="1" t="s">
        <v>8</v>
      </c>
      <c r="B5" s="1" t="s">
        <v>3882</v>
      </c>
      <c r="C5" s="1" t="s">
        <v>3892</v>
      </c>
      <c r="D5" s="1" t="s">
        <v>3893</v>
      </c>
      <c r="E5" s="1" t="s">
        <v>3488</v>
      </c>
      <c r="F5" s="1" t="s">
        <v>3894</v>
      </c>
      <c r="G5" s="1" t="s">
        <v>3895</v>
      </c>
      <c r="H5" s="1" t="s">
        <v>4</v>
      </c>
    </row>
    <row r="6">
      <c r="A6" s="1" t="s">
        <v>8</v>
      </c>
      <c r="B6" s="1" t="s">
        <v>3882</v>
      </c>
      <c r="C6" s="1" t="s">
        <v>3896</v>
      </c>
      <c r="D6" s="1" t="s">
        <v>3897</v>
      </c>
      <c r="E6" s="1" t="s">
        <v>3898</v>
      </c>
      <c r="F6" s="1" t="s">
        <v>3899</v>
      </c>
      <c r="G6" s="1" t="s">
        <v>3900</v>
      </c>
      <c r="H6" s="1" t="s">
        <v>5</v>
      </c>
    </row>
    <row r="7">
      <c r="A7" s="1" t="s">
        <v>8</v>
      </c>
      <c r="B7" s="1" t="s">
        <v>3882</v>
      </c>
      <c r="C7" s="1" t="s">
        <v>3901</v>
      </c>
      <c r="D7" s="1" t="s">
        <v>3902</v>
      </c>
      <c r="E7" s="1" t="s">
        <v>3903</v>
      </c>
      <c r="F7" s="1" t="s">
        <v>3904</v>
      </c>
      <c r="G7" s="1" t="s">
        <v>3905</v>
      </c>
      <c r="H7" s="1" t="s">
        <v>5</v>
      </c>
    </row>
    <row r="8">
      <c r="A8" s="1" t="s">
        <v>8</v>
      </c>
      <c r="B8" s="1" t="s">
        <v>3882</v>
      </c>
      <c r="C8" s="1" t="s">
        <v>3906</v>
      </c>
      <c r="D8" s="1" t="s">
        <v>3907</v>
      </c>
      <c r="E8" s="1" t="s">
        <v>3908</v>
      </c>
      <c r="F8" s="1" t="s">
        <v>3909</v>
      </c>
      <c r="G8" s="1" t="s">
        <v>3910</v>
      </c>
      <c r="H8" s="1" t="s">
        <v>4</v>
      </c>
    </row>
    <row r="9">
      <c r="A9" s="1" t="s">
        <v>8</v>
      </c>
      <c r="B9" s="1" t="s">
        <v>3882</v>
      </c>
      <c r="C9" s="1" t="s">
        <v>3911</v>
      </c>
      <c r="D9" s="1" t="s">
        <v>3912</v>
      </c>
      <c r="E9" s="1" t="s">
        <v>1348</v>
      </c>
      <c r="F9" s="1" t="s">
        <v>3913</v>
      </c>
      <c r="G9" s="1" t="s">
        <v>1347</v>
      </c>
      <c r="H9" s="1" t="s">
        <v>4</v>
      </c>
    </row>
    <row r="10">
      <c r="A10" s="1" t="s">
        <v>8</v>
      </c>
      <c r="B10" s="1" t="s">
        <v>3882</v>
      </c>
      <c r="C10" s="1" t="s">
        <v>3914</v>
      </c>
      <c r="D10" s="1" t="s">
        <v>3387</v>
      </c>
      <c r="E10" s="1" t="s">
        <v>3388</v>
      </c>
      <c r="F10" s="1" t="s">
        <v>3389</v>
      </c>
      <c r="G10" s="1" t="s">
        <v>3390</v>
      </c>
      <c r="H10" s="1" t="s">
        <v>3</v>
      </c>
    </row>
    <row r="11">
      <c r="A11" s="1" t="s">
        <v>8</v>
      </c>
      <c r="B11" s="1" t="s">
        <v>3882</v>
      </c>
      <c r="C11" s="1" t="s">
        <v>3915</v>
      </c>
      <c r="D11" s="1" t="s">
        <v>3916</v>
      </c>
      <c r="E11" s="1" t="s">
        <v>3917</v>
      </c>
      <c r="F11" s="1" t="s">
        <v>3918</v>
      </c>
      <c r="G11" s="1" t="s">
        <v>3919</v>
      </c>
      <c r="H11" s="1" t="s">
        <v>5</v>
      </c>
    </row>
    <row r="12">
      <c r="A12" s="1" t="s">
        <v>8</v>
      </c>
      <c r="B12" s="1" t="s">
        <v>3882</v>
      </c>
      <c r="C12" s="1" t="s">
        <v>3920</v>
      </c>
      <c r="D12" s="1" t="s">
        <v>3894</v>
      </c>
      <c r="E12" s="1" t="s">
        <v>3895</v>
      </c>
      <c r="F12" s="1" t="s">
        <v>3893</v>
      </c>
      <c r="G12" s="1" t="s">
        <v>3488</v>
      </c>
      <c r="H12" s="1" t="s">
        <v>4</v>
      </c>
    </row>
    <row r="13">
      <c r="A13" s="1" t="s">
        <v>8</v>
      </c>
      <c r="B13" s="1" t="s">
        <v>3882</v>
      </c>
      <c r="C13" s="1" t="s">
        <v>3921</v>
      </c>
      <c r="D13" s="1" t="s">
        <v>3894</v>
      </c>
      <c r="E13" s="1" t="s">
        <v>3488</v>
      </c>
      <c r="F13" s="1" t="s">
        <v>3893</v>
      </c>
      <c r="G13" s="1" t="s">
        <v>3895</v>
      </c>
      <c r="H13" s="1" t="s">
        <v>4</v>
      </c>
    </row>
    <row r="14">
      <c r="A14" s="1" t="s">
        <v>8</v>
      </c>
      <c r="B14" s="1" t="s">
        <v>3882</v>
      </c>
      <c r="C14" s="1" t="s">
        <v>3922</v>
      </c>
      <c r="D14" s="1">
        <v>140.0</v>
      </c>
      <c r="E14" s="1">
        <v>150.0</v>
      </c>
      <c r="F14" s="1">
        <v>160.0</v>
      </c>
      <c r="G14" s="1">
        <v>166.0</v>
      </c>
      <c r="H14" s="1" t="s">
        <v>3</v>
      </c>
    </row>
    <row r="15">
      <c r="A15" s="1" t="s">
        <v>8</v>
      </c>
      <c r="B15" s="1" t="s">
        <v>3882</v>
      </c>
      <c r="C15" s="1" t="s">
        <v>3923</v>
      </c>
      <c r="D15" s="1" t="s">
        <v>3900</v>
      </c>
      <c r="E15" s="1" t="s">
        <v>3362</v>
      </c>
      <c r="F15" s="1" t="s">
        <v>3924</v>
      </c>
      <c r="G15" s="1" t="s">
        <v>3925</v>
      </c>
      <c r="H15" s="1" t="s">
        <v>6</v>
      </c>
    </row>
    <row r="16">
      <c r="A16" s="1" t="s">
        <v>8</v>
      </c>
      <c r="B16" s="1" t="s">
        <v>3882</v>
      </c>
      <c r="C16" s="1" t="s">
        <v>3926</v>
      </c>
      <c r="D16" s="1" t="s">
        <v>3927</v>
      </c>
      <c r="E16" s="1" t="s">
        <v>3928</v>
      </c>
      <c r="F16" s="1" t="s">
        <v>3929</v>
      </c>
      <c r="G16" s="1" t="s">
        <v>22</v>
      </c>
      <c r="H16" s="1" t="s">
        <v>4</v>
      </c>
    </row>
    <row r="17">
      <c r="A17" s="1" t="s">
        <v>8</v>
      </c>
      <c r="B17" s="1" t="s">
        <v>3882</v>
      </c>
      <c r="C17" s="1" t="s">
        <v>3930</v>
      </c>
      <c r="D17" s="1" t="s">
        <v>3931</v>
      </c>
      <c r="E17" s="1" t="s">
        <v>1348</v>
      </c>
      <c r="F17" s="1" t="s">
        <v>3932</v>
      </c>
      <c r="G17" s="1" t="s">
        <v>1113</v>
      </c>
      <c r="H17" s="1" t="s">
        <v>4</v>
      </c>
    </row>
    <row r="18">
      <c r="A18" s="1" t="s">
        <v>8</v>
      </c>
      <c r="B18" s="1" t="s">
        <v>3882</v>
      </c>
      <c r="C18" s="1" t="s">
        <v>3933</v>
      </c>
      <c r="D18" s="1" t="s">
        <v>3934</v>
      </c>
      <c r="E18" s="1" t="s">
        <v>3935</v>
      </c>
      <c r="F18" s="1" t="s">
        <v>3936</v>
      </c>
      <c r="G18" s="1" t="s">
        <v>3937</v>
      </c>
      <c r="H18" s="1" t="s">
        <v>6</v>
      </c>
    </row>
    <row r="19">
      <c r="A19" s="1" t="s">
        <v>8</v>
      </c>
      <c r="B19" s="1" t="s">
        <v>3882</v>
      </c>
      <c r="C19" s="1" t="s">
        <v>3938</v>
      </c>
      <c r="D19" s="1" t="s">
        <v>3939</v>
      </c>
      <c r="E19" s="1" t="s">
        <v>3940</v>
      </c>
      <c r="F19" s="1" t="s">
        <v>3941</v>
      </c>
      <c r="G19" s="1" t="s">
        <v>3942</v>
      </c>
      <c r="H19" s="1" t="s">
        <v>5</v>
      </c>
    </row>
    <row r="20">
      <c r="A20" s="1" t="s">
        <v>8</v>
      </c>
      <c r="B20" s="1" t="s">
        <v>3882</v>
      </c>
      <c r="C20" s="1" t="s">
        <v>3943</v>
      </c>
      <c r="D20" s="1" t="s">
        <v>3931</v>
      </c>
      <c r="E20" s="1" t="s">
        <v>3944</v>
      </c>
      <c r="F20" s="1" t="s">
        <v>3945</v>
      </c>
      <c r="G20" s="1" t="s">
        <v>1113</v>
      </c>
      <c r="H20" s="1" t="s">
        <v>5</v>
      </c>
    </row>
    <row r="21">
      <c r="A21" s="1" t="s">
        <v>8</v>
      </c>
      <c r="B21" s="1" t="s">
        <v>3882</v>
      </c>
      <c r="C21" s="1" t="s">
        <v>3946</v>
      </c>
      <c r="D21" s="1" t="s">
        <v>3947</v>
      </c>
      <c r="E21" s="1" t="s">
        <v>3948</v>
      </c>
      <c r="F21" s="1" t="s">
        <v>3362</v>
      </c>
      <c r="G21" s="1" t="s">
        <v>3925</v>
      </c>
      <c r="H21" s="1" t="s">
        <v>3</v>
      </c>
    </row>
    <row r="22">
      <c r="A22" s="1" t="s">
        <v>8</v>
      </c>
      <c r="B22" s="1" t="s">
        <v>3882</v>
      </c>
      <c r="C22" s="1" t="s">
        <v>3949</v>
      </c>
      <c r="D22" s="1" t="s">
        <v>3950</v>
      </c>
      <c r="E22" s="1" t="s">
        <v>3895</v>
      </c>
      <c r="F22" s="1" t="s">
        <v>3894</v>
      </c>
      <c r="G22" s="1" t="s">
        <v>3893</v>
      </c>
      <c r="H22" s="1" t="s">
        <v>6</v>
      </c>
    </row>
    <row r="23">
      <c r="A23" s="1" t="s">
        <v>8</v>
      </c>
      <c r="B23" s="1" t="s">
        <v>3882</v>
      </c>
      <c r="C23" s="1" t="s">
        <v>3951</v>
      </c>
      <c r="D23" s="1" t="s">
        <v>3895</v>
      </c>
      <c r="E23" s="1" t="s">
        <v>3893</v>
      </c>
      <c r="F23" s="1" t="s">
        <v>1348</v>
      </c>
      <c r="G23" s="1" t="s">
        <v>1347</v>
      </c>
      <c r="H23" s="1" t="s">
        <v>4</v>
      </c>
    </row>
    <row r="24">
      <c r="A24" s="1" t="s">
        <v>8</v>
      </c>
      <c r="B24" s="1" t="s">
        <v>3882</v>
      </c>
      <c r="C24" s="1" t="s">
        <v>3952</v>
      </c>
      <c r="D24" s="1" t="s">
        <v>3947</v>
      </c>
      <c r="E24" s="1" t="s">
        <v>3925</v>
      </c>
      <c r="F24" s="1" t="s">
        <v>3953</v>
      </c>
      <c r="G24" s="1" t="s">
        <v>3924</v>
      </c>
      <c r="H24" s="1" t="s">
        <v>3</v>
      </c>
    </row>
    <row r="25">
      <c r="A25" s="1" t="s">
        <v>8</v>
      </c>
      <c r="B25" s="1" t="s">
        <v>3882</v>
      </c>
      <c r="C25" s="1" t="s">
        <v>3954</v>
      </c>
      <c r="D25" s="1" t="s">
        <v>2162</v>
      </c>
      <c r="E25" s="1" t="s">
        <v>3450</v>
      </c>
      <c r="F25" s="1" t="s">
        <v>3451</v>
      </c>
      <c r="G25" s="1" t="s">
        <v>22</v>
      </c>
      <c r="H25" s="1" t="s">
        <v>4</v>
      </c>
    </row>
    <row r="26">
      <c r="A26" s="1" t="s">
        <v>8</v>
      </c>
      <c r="B26" s="1" t="s">
        <v>3882</v>
      </c>
      <c r="C26" s="1" t="s">
        <v>3955</v>
      </c>
      <c r="D26" s="1" t="s">
        <v>3956</v>
      </c>
      <c r="E26" s="1" t="s">
        <v>3957</v>
      </c>
      <c r="F26" s="1" t="s">
        <v>3958</v>
      </c>
      <c r="G26" s="1" t="s">
        <v>3959</v>
      </c>
      <c r="H26" s="1" t="s">
        <v>4</v>
      </c>
    </row>
    <row r="27">
      <c r="A27" s="1" t="s">
        <v>8</v>
      </c>
      <c r="B27" s="1" t="s">
        <v>3882</v>
      </c>
      <c r="C27" s="1" t="s">
        <v>3960</v>
      </c>
      <c r="D27" s="1" t="s">
        <v>3925</v>
      </c>
      <c r="E27" s="1" t="s">
        <v>3897</v>
      </c>
      <c r="F27" s="1" t="s">
        <v>3961</v>
      </c>
      <c r="G27" s="1" t="s">
        <v>22</v>
      </c>
      <c r="H27" s="1" t="s">
        <v>4</v>
      </c>
    </row>
    <row r="28">
      <c r="A28" s="1" t="s">
        <v>8</v>
      </c>
      <c r="B28" s="1" t="s">
        <v>3882</v>
      </c>
      <c r="C28" s="1" t="s">
        <v>3962</v>
      </c>
      <c r="D28" s="1" t="s">
        <v>3963</v>
      </c>
      <c r="E28" s="1" t="s">
        <v>3931</v>
      </c>
      <c r="F28" s="1" t="s">
        <v>3964</v>
      </c>
      <c r="G28" s="1" t="s">
        <v>3945</v>
      </c>
      <c r="H28" s="1" t="s">
        <v>6</v>
      </c>
    </row>
    <row r="29">
      <c r="A29" s="1" t="s">
        <v>8</v>
      </c>
      <c r="B29" s="1" t="s">
        <v>3882</v>
      </c>
      <c r="C29" s="1" t="s">
        <v>3965</v>
      </c>
      <c r="D29" s="1" t="s">
        <v>3043</v>
      </c>
      <c r="E29" s="1" t="s">
        <v>3460</v>
      </c>
      <c r="F29" s="1" t="s">
        <v>3426</v>
      </c>
      <c r="G29" s="1" t="s">
        <v>3478</v>
      </c>
      <c r="H29" s="1" t="s">
        <v>6</v>
      </c>
    </row>
    <row r="30">
      <c r="A30" s="1" t="s">
        <v>8</v>
      </c>
      <c r="B30" s="1" t="s">
        <v>3882</v>
      </c>
      <c r="C30" s="1" t="s">
        <v>3966</v>
      </c>
      <c r="D30" s="1" t="s">
        <v>3967</v>
      </c>
      <c r="E30" s="1" t="s">
        <v>3968</v>
      </c>
      <c r="F30" s="1" t="s">
        <v>3969</v>
      </c>
      <c r="G30" s="1" t="s">
        <v>3970</v>
      </c>
      <c r="H30" s="1" t="s">
        <v>6</v>
      </c>
    </row>
    <row r="31">
      <c r="A31" s="1" t="s">
        <v>8</v>
      </c>
      <c r="B31" s="1" t="s">
        <v>3882</v>
      </c>
      <c r="C31" s="1" t="s">
        <v>3971</v>
      </c>
      <c r="D31" s="1" t="s">
        <v>2012</v>
      </c>
      <c r="E31" s="1" t="s">
        <v>3972</v>
      </c>
      <c r="F31" s="1" t="s">
        <v>2024</v>
      </c>
      <c r="G31" s="1" t="s">
        <v>3973</v>
      </c>
      <c r="H31" s="1" t="s">
        <v>4</v>
      </c>
    </row>
    <row r="32">
      <c r="A32" s="1" t="s">
        <v>8</v>
      </c>
      <c r="B32" s="1" t="s">
        <v>3882</v>
      </c>
      <c r="C32" s="1" t="s">
        <v>3974</v>
      </c>
      <c r="D32" s="1" t="s">
        <v>3975</v>
      </c>
      <c r="E32" s="1" t="s">
        <v>3885</v>
      </c>
      <c r="F32" s="1" t="s">
        <v>3976</v>
      </c>
      <c r="G32" s="1" t="s">
        <v>3977</v>
      </c>
      <c r="H32" s="1" t="s">
        <v>4</v>
      </c>
    </row>
    <row r="33">
      <c r="A33" s="1" t="s">
        <v>8</v>
      </c>
      <c r="B33" s="1" t="s">
        <v>3882</v>
      </c>
      <c r="C33" s="1" t="s">
        <v>3978</v>
      </c>
      <c r="D33" s="1" t="s">
        <v>3979</v>
      </c>
      <c r="E33" s="1" t="s">
        <v>3980</v>
      </c>
      <c r="F33" s="1" t="s">
        <v>3981</v>
      </c>
      <c r="G33" s="1" t="s">
        <v>3982</v>
      </c>
      <c r="H33" s="1" t="s">
        <v>6</v>
      </c>
    </row>
    <row r="34">
      <c r="A34" s="1" t="s">
        <v>8</v>
      </c>
      <c r="B34" s="1" t="s">
        <v>3882</v>
      </c>
      <c r="C34" s="1" t="s">
        <v>3983</v>
      </c>
      <c r="D34" s="1" t="s">
        <v>3489</v>
      </c>
      <c r="E34" s="1" t="s">
        <v>3488</v>
      </c>
      <c r="F34" s="1" t="s">
        <v>3893</v>
      </c>
      <c r="G34" s="1" t="s">
        <v>3895</v>
      </c>
      <c r="H34" s="1" t="s">
        <v>4</v>
      </c>
    </row>
    <row r="35">
      <c r="A35" s="1" t="s">
        <v>8</v>
      </c>
      <c r="B35" s="1" t="s">
        <v>3882</v>
      </c>
      <c r="C35" s="1" t="s">
        <v>3984</v>
      </c>
      <c r="D35" s="1" t="s">
        <v>3985</v>
      </c>
      <c r="E35" s="1" t="s">
        <v>3986</v>
      </c>
      <c r="F35" s="1" t="s">
        <v>3987</v>
      </c>
      <c r="G35" s="1" t="s">
        <v>3988</v>
      </c>
      <c r="H35" s="1" t="s">
        <v>6</v>
      </c>
    </row>
    <row r="36">
      <c r="A36" s="1" t="s">
        <v>8</v>
      </c>
      <c r="B36" s="1" t="s">
        <v>3882</v>
      </c>
      <c r="C36" s="1" t="s">
        <v>3989</v>
      </c>
      <c r="D36" s="1" t="s">
        <v>1971</v>
      </c>
      <c r="E36" s="1" t="s">
        <v>3582</v>
      </c>
      <c r="F36" s="1" t="s">
        <v>3990</v>
      </c>
      <c r="G36" s="1" t="s">
        <v>3991</v>
      </c>
      <c r="H36" s="1" t="s">
        <v>6</v>
      </c>
    </row>
    <row r="37">
      <c r="A37" s="1" t="s">
        <v>8</v>
      </c>
      <c r="B37" s="1" t="s">
        <v>3882</v>
      </c>
      <c r="C37" s="1" t="s">
        <v>3992</v>
      </c>
      <c r="D37" s="1" t="s">
        <v>3993</v>
      </c>
      <c r="E37" s="1" t="s">
        <v>3994</v>
      </c>
      <c r="F37" s="1" t="s">
        <v>3995</v>
      </c>
      <c r="G37" s="1" t="s">
        <v>3996</v>
      </c>
      <c r="H37" s="1" t="s">
        <v>4</v>
      </c>
    </row>
    <row r="38">
      <c r="A38" s="1" t="s">
        <v>8</v>
      </c>
      <c r="B38" s="1" t="s">
        <v>3882</v>
      </c>
      <c r="C38" s="1" t="s">
        <v>3997</v>
      </c>
      <c r="D38" s="1" t="s">
        <v>3998</v>
      </c>
      <c r="E38" s="1" t="s">
        <v>3999</v>
      </c>
      <c r="F38" s="1" t="s">
        <v>4000</v>
      </c>
      <c r="G38" s="1" t="s">
        <v>4001</v>
      </c>
      <c r="H38" s="1" t="s">
        <v>6</v>
      </c>
    </row>
    <row r="39">
      <c r="A39" s="1" t="s">
        <v>8</v>
      </c>
      <c r="B39" s="1" t="s">
        <v>3882</v>
      </c>
      <c r="C39" s="1" t="s">
        <v>4002</v>
      </c>
      <c r="D39" s="1" t="s">
        <v>4003</v>
      </c>
      <c r="E39" s="1" t="s">
        <v>4004</v>
      </c>
      <c r="F39" s="1" t="s">
        <v>4005</v>
      </c>
      <c r="G39" s="1" t="s">
        <v>4006</v>
      </c>
      <c r="H39" s="1" t="s">
        <v>4</v>
      </c>
    </row>
    <row r="40">
      <c r="A40" s="1" t="s">
        <v>8</v>
      </c>
      <c r="B40" s="1" t="s">
        <v>3882</v>
      </c>
      <c r="C40" s="1" t="s">
        <v>4007</v>
      </c>
      <c r="D40" s="1" t="s">
        <v>4008</v>
      </c>
      <c r="E40" s="1" t="s">
        <v>4009</v>
      </c>
      <c r="F40" s="1" t="s">
        <v>4010</v>
      </c>
      <c r="G40" s="1" t="s">
        <v>4011</v>
      </c>
      <c r="H40" s="1" t="s">
        <v>4</v>
      </c>
    </row>
    <row r="41">
      <c r="A41" s="1" t="s">
        <v>8</v>
      </c>
      <c r="B41" s="1" t="s">
        <v>3882</v>
      </c>
      <c r="C41" s="1" t="s">
        <v>4012</v>
      </c>
      <c r="D41" s="1" t="s">
        <v>4013</v>
      </c>
      <c r="E41" s="1" t="s">
        <v>4014</v>
      </c>
      <c r="F41" s="1" t="s">
        <v>4015</v>
      </c>
      <c r="G41" s="1" t="s">
        <v>4016</v>
      </c>
      <c r="H41" s="1" t="s">
        <v>4</v>
      </c>
    </row>
    <row r="42">
      <c r="A42" s="1" t="s">
        <v>8</v>
      </c>
      <c r="B42" s="1" t="s">
        <v>3882</v>
      </c>
      <c r="C42" s="1" t="s">
        <v>4017</v>
      </c>
      <c r="D42" s="1" t="s">
        <v>3362</v>
      </c>
      <c r="E42" s="1" t="s">
        <v>3947</v>
      </c>
      <c r="F42" s="1" t="s">
        <v>3925</v>
      </c>
      <c r="G42" s="1" t="s">
        <v>3948</v>
      </c>
      <c r="H42" s="1" t="s">
        <v>3</v>
      </c>
    </row>
    <row r="43">
      <c r="A43" s="1" t="s">
        <v>8</v>
      </c>
      <c r="B43" s="1" t="s">
        <v>3882</v>
      </c>
      <c r="C43" s="1" t="s">
        <v>4018</v>
      </c>
      <c r="D43" s="1" t="s">
        <v>4019</v>
      </c>
      <c r="E43" s="1" t="s">
        <v>4020</v>
      </c>
      <c r="F43" s="1" t="s">
        <v>4021</v>
      </c>
      <c r="G43" s="1" t="s">
        <v>4022</v>
      </c>
      <c r="H43" s="1" t="s">
        <v>4</v>
      </c>
    </row>
    <row r="44">
      <c r="A44" s="1" t="s">
        <v>8</v>
      </c>
      <c r="B44" s="1" t="s">
        <v>3882</v>
      </c>
      <c r="C44" s="1" t="s">
        <v>4023</v>
      </c>
      <c r="D44" s="1" t="s">
        <v>4024</v>
      </c>
      <c r="E44" s="1" t="s">
        <v>4025</v>
      </c>
      <c r="F44" s="1" t="s">
        <v>4026</v>
      </c>
      <c r="G44" s="1" t="s">
        <v>4027</v>
      </c>
      <c r="H44" s="1" t="s">
        <v>4</v>
      </c>
    </row>
    <row r="45">
      <c r="A45" s="1" t="s">
        <v>8</v>
      </c>
      <c r="B45" s="1" t="s">
        <v>3882</v>
      </c>
      <c r="C45" s="1" t="s">
        <v>3600</v>
      </c>
      <c r="D45" s="1" t="s">
        <v>3362</v>
      </c>
      <c r="E45" s="1" t="s">
        <v>3947</v>
      </c>
      <c r="F45" s="1" t="s">
        <v>3925</v>
      </c>
      <c r="G45" s="1" t="s">
        <v>3948</v>
      </c>
      <c r="H45" s="1" t="s">
        <v>4</v>
      </c>
    </row>
    <row r="46">
      <c r="A46" s="1" t="s">
        <v>8</v>
      </c>
      <c r="B46" s="1" t="s">
        <v>3882</v>
      </c>
      <c r="C46" s="1" t="s">
        <v>4028</v>
      </c>
      <c r="D46" s="1" t="s">
        <v>4029</v>
      </c>
      <c r="E46" s="1" t="s">
        <v>4030</v>
      </c>
      <c r="F46" s="1" t="s">
        <v>4031</v>
      </c>
      <c r="G46" s="1" t="s">
        <v>4032</v>
      </c>
      <c r="H46" s="1" t="s">
        <v>4</v>
      </c>
    </row>
    <row r="47">
      <c r="A47" s="1" t="s">
        <v>8</v>
      </c>
      <c r="B47" s="1" t="s">
        <v>3882</v>
      </c>
      <c r="C47" s="1" t="s">
        <v>3407</v>
      </c>
      <c r="D47" s="1" t="s">
        <v>4033</v>
      </c>
      <c r="E47" s="1" t="s">
        <v>4034</v>
      </c>
      <c r="F47" s="1" t="s">
        <v>3410</v>
      </c>
      <c r="G47" s="1" t="s">
        <v>3409</v>
      </c>
      <c r="H47" s="1" t="s">
        <v>3</v>
      </c>
    </row>
    <row r="48">
      <c r="A48" s="1" t="s">
        <v>8</v>
      </c>
      <c r="B48" s="1" t="s">
        <v>3882</v>
      </c>
      <c r="C48" s="1" t="s">
        <v>4035</v>
      </c>
      <c r="D48" s="1" t="s">
        <v>3362</v>
      </c>
      <c r="E48" s="1" t="s">
        <v>3947</v>
      </c>
      <c r="F48" s="1" t="s">
        <v>3925</v>
      </c>
      <c r="G48" s="1" t="s">
        <v>4036</v>
      </c>
      <c r="H48" s="1" t="s">
        <v>3</v>
      </c>
    </row>
    <row r="49">
      <c r="A49" s="1" t="s">
        <v>8</v>
      </c>
      <c r="B49" s="1" t="s">
        <v>3882</v>
      </c>
      <c r="C49" s="1" t="s">
        <v>4037</v>
      </c>
      <c r="D49" s="1" t="s">
        <v>4038</v>
      </c>
      <c r="E49" s="1" t="s">
        <v>4039</v>
      </c>
      <c r="F49" s="1" t="s">
        <v>4040</v>
      </c>
      <c r="G49" s="1" t="s">
        <v>4041</v>
      </c>
      <c r="H49" s="1" t="s">
        <v>3</v>
      </c>
    </row>
    <row r="50">
      <c r="A50" s="1" t="s">
        <v>8</v>
      </c>
      <c r="B50" s="1" t="s">
        <v>3882</v>
      </c>
      <c r="C50" s="1" t="s">
        <v>4042</v>
      </c>
      <c r="D50" s="1" t="s">
        <v>3897</v>
      </c>
      <c r="E50" s="1" t="s">
        <v>4043</v>
      </c>
      <c r="F50" s="1" t="s">
        <v>4044</v>
      </c>
      <c r="G50" s="1" t="s">
        <v>3899</v>
      </c>
      <c r="H50" s="1" t="s">
        <v>6</v>
      </c>
    </row>
    <row r="51">
      <c r="A51" s="1" t="s">
        <v>8</v>
      </c>
      <c r="B51" s="1" t="s">
        <v>3882</v>
      </c>
      <c r="C51" s="1" t="s">
        <v>4045</v>
      </c>
      <c r="D51" s="1" t="s">
        <v>3948</v>
      </c>
      <c r="E51" s="1" t="s">
        <v>3414</v>
      </c>
      <c r="F51" s="1" t="s">
        <v>4046</v>
      </c>
      <c r="G51" s="1" t="s">
        <v>4047</v>
      </c>
      <c r="H51" s="1" t="s">
        <v>3</v>
      </c>
    </row>
    <row r="52">
      <c r="A52" s="1" t="s">
        <v>8</v>
      </c>
      <c r="B52" s="1" t="s">
        <v>3882</v>
      </c>
      <c r="C52" s="1" t="s">
        <v>4048</v>
      </c>
      <c r="D52" s="1" t="s">
        <v>3947</v>
      </c>
      <c r="E52" s="1" t="s">
        <v>3414</v>
      </c>
      <c r="F52" s="1" t="s">
        <v>3363</v>
      </c>
      <c r="G52" s="1" t="s">
        <v>3413</v>
      </c>
      <c r="H52" s="1" t="s">
        <v>4</v>
      </c>
    </row>
    <row r="53">
      <c r="A53" s="1" t="s">
        <v>8</v>
      </c>
      <c r="B53" s="1" t="s">
        <v>3882</v>
      </c>
      <c r="C53" s="1" t="s">
        <v>4049</v>
      </c>
      <c r="D53" s="1" t="s">
        <v>4050</v>
      </c>
      <c r="E53" s="1" t="s">
        <v>3632</v>
      </c>
      <c r="F53" s="1" t="s">
        <v>4051</v>
      </c>
      <c r="G53" s="1" t="s">
        <v>4052</v>
      </c>
      <c r="H53" s="1" t="s">
        <v>3</v>
      </c>
    </row>
    <row r="54">
      <c r="A54" s="1" t="s">
        <v>8</v>
      </c>
      <c r="B54" s="1" t="s">
        <v>3882</v>
      </c>
      <c r="C54" s="1" t="s">
        <v>4053</v>
      </c>
      <c r="D54" s="1" t="s">
        <v>4054</v>
      </c>
      <c r="E54" s="1" t="s">
        <v>3897</v>
      </c>
      <c r="F54" s="1" t="s">
        <v>3898</v>
      </c>
      <c r="G54" s="1" t="s">
        <v>3899</v>
      </c>
      <c r="H54" s="1" t="s">
        <v>4</v>
      </c>
    </row>
    <row r="55">
      <c r="A55" s="1" t="s">
        <v>8</v>
      </c>
      <c r="B55" s="1" t="s">
        <v>3882</v>
      </c>
      <c r="C55" s="1" t="s">
        <v>4055</v>
      </c>
      <c r="D55" s="1" t="s">
        <v>3904</v>
      </c>
      <c r="E55" s="1" t="s">
        <v>4056</v>
      </c>
      <c r="F55" s="1" t="s">
        <v>4057</v>
      </c>
      <c r="G55" s="1" t="s">
        <v>3903</v>
      </c>
      <c r="H55" s="1" t="s">
        <v>4058</v>
      </c>
    </row>
    <row r="56">
      <c r="A56" s="1" t="s">
        <v>8</v>
      </c>
      <c r="B56" s="1" t="s">
        <v>3882</v>
      </c>
      <c r="C56" s="1" t="s">
        <v>4059</v>
      </c>
      <c r="D56" s="1" t="s">
        <v>3629</v>
      </c>
      <c r="E56" s="1" t="s">
        <v>3631</v>
      </c>
      <c r="F56" s="1" t="s">
        <v>3630</v>
      </c>
      <c r="G56" s="1" t="s">
        <v>3632</v>
      </c>
      <c r="H56" s="1" t="s">
        <v>3</v>
      </c>
    </row>
    <row r="57">
      <c r="A57" s="1" t="s">
        <v>8</v>
      </c>
      <c r="B57" s="1" t="s">
        <v>3882</v>
      </c>
      <c r="C57" s="1" t="s">
        <v>4060</v>
      </c>
      <c r="D57" s="1" t="s">
        <v>4061</v>
      </c>
      <c r="E57" s="1" t="s">
        <v>4062</v>
      </c>
      <c r="F57" s="1" t="s">
        <v>4063</v>
      </c>
      <c r="G57" s="1" t="s">
        <v>4064</v>
      </c>
      <c r="H57" s="1" t="s">
        <v>3</v>
      </c>
    </row>
    <row r="58">
      <c r="A58" s="1" t="s">
        <v>8</v>
      </c>
      <c r="B58" s="1" t="s">
        <v>3882</v>
      </c>
      <c r="C58" s="1" t="s">
        <v>4065</v>
      </c>
      <c r="D58" s="1" t="s">
        <v>3398</v>
      </c>
      <c r="E58" s="1" t="s">
        <v>3400</v>
      </c>
      <c r="F58" s="1" t="s">
        <v>3399</v>
      </c>
      <c r="G58" s="1" t="s">
        <v>3401</v>
      </c>
      <c r="H58" s="1" t="s">
        <v>4</v>
      </c>
    </row>
    <row r="59">
      <c r="A59" s="1" t="s">
        <v>8</v>
      </c>
      <c r="B59" s="1" t="s">
        <v>3882</v>
      </c>
      <c r="C59" s="1" t="s">
        <v>4066</v>
      </c>
      <c r="D59" s="1" t="s">
        <v>4067</v>
      </c>
      <c r="E59" s="1" t="s">
        <v>4068</v>
      </c>
      <c r="F59" s="1" t="s">
        <v>4069</v>
      </c>
      <c r="G59" s="1" t="s">
        <v>4070</v>
      </c>
      <c r="H59" s="1" t="s">
        <v>6</v>
      </c>
    </row>
    <row r="60">
      <c r="A60" s="1" t="s">
        <v>8</v>
      </c>
      <c r="B60" s="1" t="s">
        <v>3882</v>
      </c>
      <c r="C60" s="1" t="s">
        <v>4071</v>
      </c>
      <c r="D60" s="1" t="s">
        <v>4072</v>
      </c>
      <c r="E60" s="1" t="s">
        <v>4073</v>
      </c>
      <c r="F60" s="1" t="s">
        <v>4074</v>
      </c>
      <c r="G60" s="1" t="s">
        <v>22</v>
      </c>
      <c r="H60" s="1" t="s">
        <v>3</v>
      </c>
    </row>
    <row r="61">
      <c r="A61" s="1" t="s">
        <v>8</v>
      </c>
      <c r="B61" s="1" t="s">
        <v>3882</v>
      </c>
      <c r="C61" s="1" t="s">
        <v>4075</v>
      </c>
      <c r="D61" s="1">
        <v>4000.0</v>
      </c>
      <c r="E61" s="1">
        <v>4375.0</v>
      </c>
      <c r="F61" s="1">
        <v>5000.0</v>
      </c>
      <c r="G61" s="1">
        <v>2500.0</v>
      </c>
      <c r="H61" s="1" t="s">
        <v>4</v>
      </c>
    </row>
    <row r="62">
      <c r="A62" s="1" t="s">
        <v>8</v>
      </c>
      <c r="B62" s="1" t="s">
        <v>3882</v>
      </c>
      <c r="C62" s="1" t="s">
        <v>4076</v>
      </c>
      <c r="D62" s="1" t="s">
        <v>4077</v>
      </c>
      <c r="E62" s="1" t="s">
        <v>4078</v>
      </c>
      <c r="F62" s="1" t="s">
        <v>4079</v>
      </c>
      <c r="G62" s="1" t="s">
        <v>4080</v>
      </c>
      <c r="H62" s="1" t="s">
        <v>3</v>
      </c>
    </row>
    <row r="63">
      <c r="A63" s="1" t="s">
        <v>8</v>
      </c>
      <c r="B63" s="1" t="s">
        <v>3882</v>
      </c>
      <c r="C63" s="1" t="s">
        <v>4081</v>
      </c>
      <c r="D63" s="1" t="s">
        <v>4082</v>
      </c>
      <c r="E63" s="1" t="s">
        <v>4083</v>
      </c>
      <c r="F63" s="1" t="s">
        <v>4084</v>
      </c>
      <c r="G63" s="1" t="s">
        <v>4085</v>
      </c>
      <c r="H63" s="1" t="s">
        <v>4086</v>
      </c>
    </row>
    <row r="64">
      <c r="A64" s="1" t="s">
        <v>8</v>
      </c>
      <c r="B64" s="1" t="s">
        <v>3882</v>
      </c>
      <c r="C64" s="1" t="s">
        <v>4087</v>
      </c>
      <c r="D64" s="1" t="s">
        <v>4088</v>
      </c>
      <c r="E64" s="1" t="s">
        <v>4089</v>
      </c>
      <c r="F64" s="1" t="s">
        <v>4090</v>
      </c>
      <c r="G64" s="1" t="s">
        <v>4091</v>
      </c>
      <c r="H64" s="1" t="s">
        <v>4</v>
      </c>
    </row>
    <row r="65">
      <c r="A65" s="1" t="s">
        <v>8</v>
      </c>
      <c r="B65" s="1" t="s">
        <v>3882</v>
      </c>
      <c r="C65" s="1" t="s">
        <v>4092</v>
      </c>
      <c r="D65" s="1" t="s">
        <v>4004</v>
      </c>
      <c r="E65" s="1" t="s">
        <v>4093</v>
      </c>
      <c r="F65" s="1" t="s">
        <v>4094</v>
      </c>
      <c r="G65" s="1" t="s">
        <v>4003</v>
      </c>
      <c r="H65" s="1" t="s">
        <v>3</v>
      </c>
    </row>
    <row r="66">
      <c r="A66" s="1" t="s">
        <v>8</v>
      </c>
      <c r="B66" s="1" t="s">
        <v>3882</v>
      </c>
      <c r="C66" s="1" t="s">
        <v>4095</v>
      </c>
      <c r="D66" s="1" t="s">
        <v>4096</v>
      </c>
      <c r="E66" s="1" t="s">
        <v>4097</v>
      </c>
      <c r="F66" s="1" t="s">
        <v>4098</v>
      </c>
      <c r="G66" s="1" t="s">
        <v>4099</v>
      </c>
      <c r="H66" s="1" t="s">
        <v>5</v>
      </c>
    </row>
    <row r="67">
      <c r="A67" s="1" t="s">
        <v>8</v>
      </c>
      <c r="B67" s="1" t="s">
        <v>3882</v>
      </c>
      <c r="C67" s="1" t="s">
        <v>4100</v>
      </c>
      <c r="D67" s="1" t="s">
        <v>4101</v>
      </c>
      <c r="E67" s="1" t="s">
        <v>4102</v>
      </c>
      <c r="F67" s="1" t="s">
        <v>4103</v>
      </c>
      <c r="G67" s="1" t="s">
        <v>4104</v>
      </c>
      <c r="H67" s="1" t="s">
        <v>4</v>
      </c>
    </row>
    <row r="68">
      <c r="A68" s="1" t="s">
        <v>8</v>
      </c>
      <c r="B68" s="1" t="s">
        <v>3882</v>
      </c>
      <c r="C68" s="1" t="s">
        <v>4105</v>
      </c>
      <c r="D68" s="1" t="s">
        <v>4106</v>
      </c>
      <c r="E68" s="1" t="s">
        <v>4107</v>
      </c>
      <c r="F68" s="1" t="s">
        <v>4108</v>
      </c>
      <c r="G68" s="1" t="s">
        <v>4109</v>
      </c>
      <c r="H68" s="1" t="s">
        <v>3</v>
      </c>
    </row>
    <row r="69">
      <c r="A69" s="1" t="s">
        <v>8</v>
      </c>
      <c r="B69" s="1" t="s">
        <v>3882</v>
      </c>
      <c r="C69" s="1" t="s">
        <v>4110</v>
      </c>
      <c r="D69" s="1" t="s">
        <v>4111</v>
      </c>
      <c r="E69" s="1" t="s">
        <v>4112</v>
      </c>
      <c r="F69" s="1" t="s">
        <v>4113</v>
      </c>
      <c r="G69" s="1" t="s">
        <v>4114</v>
      </c>
      <c r="H69" s="1" t="s">
        <v>3</v>
      </c>
    </row>
    <row r="70">
      <c r="A70" s="1" t="s">
        <v>8</v>
      </c>
      <c r="B70" s="1" t="s">
        <v>3882</v>
      </c>
      <c r="C70" s="1" t="s">
        <v>4115</v>
      </c>
      <c r="D70" s="1" t="s">
        <v>4116</v>
      </c>
      <c r="E70" s="1" t="s">
        <v>4117</v>
      </c>
      <c r="F70" s="1" t="s">
        <v>4118</v>
      </c>
      <c r="G70" s="1" t="s">
        <v>4119</v>
      </c>
      <c r="H70" s="1" t="s">
        <v>3</v>
      </c>
    </row>
    <row r="71">
      <c r="A71" s="1" t="s">
        <v>8</v>
      </c>
      <c r="B71" s="1" t="s">
        <v>3882</v>
      </c>
      <c r="C71" s="1" t="s">
        <v>4120</v>
      </c>
      <c r="D71" s="1" t="s">
        <v>4121</v>
      </c>
      <c r="E71" s="1" t="s">
        <v>4122</v>
      </c>
      <c r="F71" s="1" t="s">
        <v>4123</v>
      </c>
      <c r="G71" s="1" t="s">
        <v>4124</v>
      </c>
      <c r="H71" s="1" t="s">
        <v>3</v>
      </c>
    </row>
    <row r="72">
      <c r="A72" s="1" t="s">
        <v>8</v>
      </c>
      <c r="B72" s="1" t="s">
        <v>3882</v>
      </c>
      <c r="C72" s="1" t="s">
        <v>4125</v>
      </c>
      <c r="D72" s="1" t="s">
        <v>4126</v>
      </c>
      <c r="E72" s="1" t="s">
        <v>4127</v>
      </c>
      <c r="F72" s="1" t="s">
        <v>4128</v>
      </c>
      <c r="G72" s="1" t="s">
        <v>4129</v>
      </c>
      <c r="H72" s="1" t="s">
        <v>3</v>
      </c>
    </row>
    <row r="73">
      <c r="A73" s="1" t="s">
        <v>8</v>
      </c>
      <c r="B73" s="1" t="s">
        <v>3882</v>
      </c>
      <c r="C73" s="1" t="s">
        <v>4130</v>
      </c>
      <c r="D73" s="1" t="s">
        <v>4131</v>
      </c>
      <c r="E73" s="1" t="s">
        <v>3904</v>
      </c>
      <c r="F73" s="1" t="s">
        <v>4132</v>
      </c>
      <c r="G73" s="1" t="s">
        <v>22</v>
      </c>
      <c r="H73" s="1" t="s">
        <v>3</v>
      </c>
    </row>
    <row r="74">
      <c r="A74" s="1" t="s">
        <v>8</v>
      </c>
      <c r="B74" s="1" t="s">
        <v>3882</v>
      </c>
      <c r="C74" s="1" t="s">
        <v>4133</v>
      </c>
      <c r="D74" s="1" t="s">
        <v>4134</v>
      </c>
      <c r="E74" s="1" t="s">
        <v>4135</v>
      </c>
      <c r="F74" s="1" t="s">
        <v>4136</v>
      </c>
      <c r="G74" s="1" t="s">
        <v>4137</v>
      </c>
      <c r="H74" s="1" t="s">
        <v>3</v>
      </c>
    </row>
    <row r="75">
      <c r="A75" s="1" t="s">
        <v>8</v>
      </c>
      <c r="B75" s="1" t="s">
        <v>3882</v>
      </c>
      <c r="C75" s="1" t="s">
        <v>4138</v>
      </c>
      <c r="D75" s="1" t="s">
        <v>4139</v>
      </c>
      <c r="E75" s="1" t="s">
        <v>4140</v>
      </c>
      <c r="F75" s="1" t="s">
        <v>4141</v>
      </c>
      <c r="G75" s="1" t="s">
        <v>22</v>
      </c>
      <c r="H75" s="1" t="s">
        <v>4</v>
      </c>
    </row>
    <row r="76">
      <c r="A76" s="1" t="s">
        <v>8</v>
      </c>
      <c r="B76" s="1" t="s">
        <v>3882</v>
      </c>
      <c r="C76" s="1" t="s">
        <v>4142</v>
      </c>
      <c r="D76" s="1" t="s">
        <v>4143</v>
      </c>
      <c r="E76" s="1" t="s">
        <v>4144</v>
      </c>
      <c r="F76" s="1" t="s">
        <v>4145</v>
      </c>
      <c r="G76" s="1" t="s">
        <v>4146</v>
      </c>
      <c r="H76" s="1" t="s">
        <v>3</v>
      </c>
    </row>
    <row r="77">
      <c r="A77" s="1" t="s">
        <v>8</v>
      </c>
      <c r="B77" s="1" t="s">
        <v>3882</v>
      </c>
      <c r="C77" s="1" t="s">
        <v>4147</v>
      </c>
      <c r="D77" s="1" t="s">
        <v>3899</v>
      </c>
      <c r="E77" s="1" t="s">
        <v>3900</v>
      </c>
      <c r="F77" s="1" t="s">
        <v>4043</v>
      </c>
      <c r="G77" s="1" t="s">
        <v>4029</v>
      </c>
      <c r="H77" s="1" t="s">
        <v>5</v>
      </c>
    </row>
    <row r="78">
      <c r="A78" s="1" t="s">
        <v>8</v>
      </c>
      <c r="B78" s="1" t="s">
        <v>3882</v>
      </c>
      <c r="C78" s="1" t="s">
        <v>4148</v>
      </c>
      <c r="D78" s="1" t="s">
        <v>3947</v>
      </c>
      <c r="E78" s="1" t="s">
        <v>3362</v>
      </c>
      <c r="F78" s="1" t="s">
        <v>4036</v>
      </c>
      <c r="G78" s="1" t="s">
        <v>3925</v>
      </c>
      <c r="H78" s="1" t="s">
        <v>4</v>
      </c>
    </row>
    <row r="79">
      <c r="A79" s="1" t="s">
        <v>8</v>
      </c>
      <c r="B79" s="1" t="s">
        <v>3882</v>
      </c>
      <c r="C79" s="1" t="s">
        <v>4149</v>
      </c>
      <c r="D79" s="1" t="s">
        <v>3362</v>
      </c>
      <c r="E79" s="1" t="s">
        <v>3947</v>
      </c>
      <c r="F79" s="1" t="s">
        <v>3925</v>
      </c>
      <c r="G79" s="1" t="s">
        <v>4036</v>
      </c>
      <c r="H79" s="1" t="s">
        <v>4</v>
      </c>
    </row>
    <row r="80">
      <c r="A80" s="1" t="s">
        <v>8</v>
      </c>
      <c r="B80" s="1" t="s">
        <v>3882</v>
      </c>
      <c r="C80" s="1" t="s">
        <v>4150</v>
      </c>
      <c r="D80" s="1">
        <v>140.0</v>
      </c>
      <c r="E80" s="1">
        <v>150.0</v>
      </c>
      <c r="F80" s="1">
        <v>160.0</v>
      </c>
      <c r="G80" s="1">
        <v>170.0</v>
      </c>
      <c r="H80" s="1" t="s">
        <v>3</v>
      </c>
    </row>
    <row r="81">
      <c r="A81" s="1" t="s">
        <v>8</v>
      </c>
      <c r="B81" s="1" t="s">
        <v>3882</v>
      </c>
      <c r="C81" s="1" t="s">
        <v>4151</v>
      </c>
      <c r="D81" s="1" t="s">
        <v>4015</v>
      </c>
      <c r="E81" s="1" t="s">
        <v>4013</v>
      </c>
      <c r="F81" s="1" t="s">
        <v>4014</v>
      </c>
      <c r="G81" s="1" t="s">
        <v>4016</v>
      </c>
      <c r="H81" s="1" t="s">
        <v>5</v>
      </c>
    </row>
    <row r="82">
      <c r="A82" s="1" t="s">
        <v>8</v>
      </c>
      <c r="B82" s="1" t="s">
        <v>3882</v>
      </c>
      <c r="C82" s="1" t="s">
        <v>4152</v>
      </c>
      <c r="D82" s="1" t="s">
        <v>3823</v>
      </c>
      <c r="E82" s="1" t="s">
        <v>4153</v>
      </c>
      <c r="F82" s="1" t="s">
        <v>4154</v>
      </c>
      <c r="G82" s="1" t="s">
        <v>4155</v>
      </c>
      <c r="H82" s="1" t="s">
        <v>5</v>
      </c>
    </row>
    <row r="83">
      <c r="A83" s="1" t="s">
        <v>8</v>
      </c>
      <c r="B83" s="1" t="s">
        <v>3882</v>
      </c>
      <c r="C83" s="1" t="s">
        <v>4156</v>
      </c>
      <c r="D83" s="1" t="s">
        <v>3947</v>
      </c>
      <c r="E83" s="1" t="s">
        <v>3925</v>
      </c>
      <c r="F83" s="1" t="s">
        <v>3948</v>
      </c>
      <c r="G83" s="1" t="s">
        <v>3362</v>
      </c>
      <c r="H83" s="1" t="s">
        <v>4</v>
      </c>
    </row>
    <row r="84">
      <c r="A84" s="1" t="s">
        <v>8</v>
      </c>
      <c r="B84" s="1" t="s">
        <v>3882</v>
      </c>
      <c r="C84" s="1" t="s">
        <v>4157</v>
      </c>
      <c r="D84" s="1" t="s">
        <v>4158</v>
      </c>
      <c r="E84" s="1" t="s">
        <v>4159</v>
      </c>
      <c r="F84" s="1" t="s">
        <v>4160</v>
      </c>
      <c r="G84" s="1" t="s">
        <v>4161</v>
      </c>
      <c r="H84" s="1" t="s">
        <v>3</v>
      </c>
    </row>
    <row r="85">
      <c r="A85" s="1" t="s">
        <v>8</v>
      </c>
      <c r="B85" s="1" t="s">
        <v>3882</v>
      </c>
      <c r="C85" s="1" t="s">
        <v>4162</v>
      </c>
      <c r="D85" s="1" t="s">
        <v>3413</v>
      </c>
      <c r="E85" s="1" t="s">
        <v>3885</v>
      </c>
      <c r="F85" s="1" t="s">
        <v>4163</v>
      </c>
      <c r="G85" s="1" t="s">
        <v>3975</v>
      </c>
      <c r="H85" s="1" t="s">
        <v>4</v>
      </c>
    </row>
    <row r="86">
      <c r="A86" s="1" t="s">
        <v>8</v>
      </c>
      <c r="B86" s="1" t="s">
        <v>3882</v>
      </c>
      <c r="C86" s="1" t="s">
        <v>4164</v>
      </c>
      <c r="D86" s="1" t="s">
        <v>4108</v>
      </c>
      <c r="E86" s="1" t="s">
        <v>4165</v>
      </c>
      <c r="F86" s="1" t="s">
        <v>3632</v>
      </c>
      <c r="G86" s="1" t="s">
        <v>4166</v>
      </c>
      <c r="H86" s="1" t="s">
        <v>3</v>
      </c>
    </row>
    <row r="87">
      <c r="A87" s="1" t="s">
        <v>8</v>
      </c>
      <c r="B87" s="1" t="s">
        <v>3882</v>
      </c>
      <c r="C87" s="1" t="s">
        <v>4167</v>
      </c>
      <c r="D87" s="1" t="s">
        <v>4168</v>
      </c>
      <c r="E87" s="1" t="s">
        <v>4169</v>
      </c>
      <c r="F87" s="1" t="s">
        <v>3632</v>
      </c>
      <c r="G87" s="1" t="s">
        <v>4170</v>
      </c>
      <c r="H87" s="1" t="s">
        <v>5</v>
      </c>
    </row>
    <row r="88">
      <c r="A88" s="1" t="s">
        <v>8</v>
      </c>
      <c r="B88" s="1" t="s">
        <v>3882</v>
      </c>
      <c r="C88" s="1" t="s">
        <v>4171</v>
      </c>
      <c r="D88" s="1" t="s">
        <v>4172</v>
      </c>
      <c r="E88" s="1" t="s">
        <v>4173</v>
      </c>
      <c r="F88" s="1" t="s">
        <v>4174</v>
      </c>
      <c r="G88" s="1" t="s">
        <v>3988</v>
      </c>
      <c r="H88" s="1" t="s">
        <v>3</v>
      </c>
    </row>
    <row r="89">
      <c r="A89" s="1" t="s">
        <v>8</v>
      </c>
      <c r="B89" s="1" t="s">
        <v>3882</v>
      </c>
      <c r="C89" s="1" t="s">
        <v>4175</v>
      </c>
      <c r="D89" s="1" t="s">
        <v>4176</v>
      </c>
      <c r="E89" s="1" t="s">
        <v>4177</v>
      </c>
      <c r="F89" s="1" t="s">
        <v>4178</v>
      </c>
      <c r="G89" s="1" t="s">
        <v>4179</v>
      </c>
      <c r="H89" s="1" t="s">
        <v>3</v>
      </c>
    </row>
    <row r="90">
      <c r="A90" s="1" t="s">
        <v>8</v>
      </c>
      <c r="B90" s="1" t="s">
        <v>3882</v>
      </c>
      <c r="C90" s="1" t="s">
        <v>4180</v>
      </c>
      <c r="D90" s="1" t="s">
        <v>4181</v>
      </c>
      <c r="E90" s="1" t="s">
        <v>4182</v>
      </c>
      <c r="F90" s="1" t="s">
        <v>4183</v>
      </c>
      <c r="G90" s="1" t="s">
        <v>3632</v>
      </c>
      <c r="H90" s="1" t="s">
        <v>3</v>
      </c>
    </row>
    <row r="91">
      <c r="A91" s="1" t="s">
        <v>8</v>
      </c>
      <c r="B91" s="1" t="s">
        <v>3882</v>
      </c>
      <c r="C91" s="1" t="s">
        <v>4184</v>
      </c>
      <c r="D91" s="1" t="s">
        <v>3985</v>
      </c>
      <c r="E91" s="1" t="s">
        <v>3988</v>
      </c>
      <c r="F91" s="1" t="s">
        <v>4185</v>
      </c>
      <c r="G91" s="1" t="s">
        <v>4186</v>
      </c>
      <c r="H91" s="1" t="s">
        <v>4</v>
      </c>
    </row>
    <row r="92">
      <c r="A92" s="1" t="s">
        <v>8</v>
      </c>
      <c r="B92" s="1" t="s">
        <v>3882</v>
      </c>
      <c r="C92" s="1" t="s">
        <v>3546</v>
      </c>
      <c r="D92" s="1" t="s">
        <v>1552</v>
      </c>
      <c r="E92" s="1" t="s">
        <v>1932</v>
      </c>
      <c r="F92" s="6">
        <v>0.35208333333333336</v>
      </c>
      <c r="G92" s="1" t="s">
        <v>2028</v>
      </c>
      <c r="H92" s="1" t="s">
        <v>4</v>
      </c>
    </row>
    <row r="93">
      <c r="A93" s="1" t="s">
        <v>8</v>
      </c>
      <c r="B93" s="1" t="s">
        <v>3882</v>
      </c>
      <c r="C93" s="1" t="s">
        <v>4187</v>
      </c>
      <c r="D93" s="1" t="s">
        <v>3662</v>
      </c>
      <c r="E93" s="10">
        <v>1.086111111111111</v>
      </c>
      <c r="F93" s="10">
        <v>28.886111111111113</v>
      </c>
      <c r="G93" s="1" t="s">
        <v>3661</v>
      </c>
      <c r="H93" s="1" t="s">
        <v>3</v>
      </c>
    </row>
    <row r="94">
      <c r="A94" s="1" t="s">
        <v>8</v>
      </c>
      <c r="B94" s="1" t="s">
        <v>3882</v>
      </c>
      <c r="C94" s="1" t="s">
        <v>4188</v>
      </c>
      <c r="D94" s="1" t="s">
        <v>3043</v>
      </c>
      <c r="E94" s="1" t="s">
        <v>3044</v>
      </c>
      <c r="F94" s="1" t="s">
        <v>3426</v>
      </c>
      <c r="G94" s="1" t="s">
        <v>3478</v>
      </c>
      <c r="H94" s="1" t="s">
        <v>4</v>
      </c>
    </row>
    <row r="95">
      <c r="A95" s="1" t="s">
        <v>8</v>
      </c>
      <c r="B95" s="1" t="s">
        <v>3882</v>
      </c>
      <c r="C95" s="1" t="s">
        <v>4189</v>
      </c>
      <c r="D95" s="1" t="s">
        <v>4190</v>
      </c>
      <c r="E95" s="1" t="s">
        <v>4191</v>
      </c>
      <c r="F95" s="1" t="s">
        <v>4192</v>
      </c>
      <c r="G95" s="1" t="s">
        <v>4193</v>
      </c>
      <c r="H95" s="1" t="s">
        <v>3</v>
      </c>
    </row>
    <row r="96">
      <c r="A96" s="1" t="s">
        <v>8</v>
      </c>
      <c r="B96" s="1" t="s">
        <v>3882</v>
      </c>
      <c r="C96" s="1" t="s">
        <v>4194</v>
      </c>
      <c r="D96" s="1" t="s">
        <v>4195</v>
      </c>
      <c r="E96" s="1" t="s">
        <v>4196</v>
      </c>
      <c r="F96" s="1" t="s">
        <v>4197</v>
      </c>
      <c r="G96" s="1" t="s">
        <v>4198</v>
      </c>
      <c r="H96" s="1" t="s">
        <v>3</v>
      </c>
    </row>
    <row r="97">
      <c r="A97" s="1" t="s">
        <v>8</v>
      </c>
      <c r="B97" s="1" t="s">
        <v>3882</v>
      </c>
      <c r="C97" s="1" t="s">
        <v>4199</v>
      </c>
      <c r="D97" s="1" t="s">
        <v>4200</v>
      </c>
      <c r="E97" s="1" t="s">
        <v>3069</v>
      </c>
      <c r="F97" s="1" t="s">
        <v>4201</v>
      </c>
      <c r="G97" s="1" t="s">
        <v>4202</v>
      </c>
      <c r="H97" s="1" t="s">
        <v>3</v>
      </c>
    </row>
    <row r="98">
      <c r="A98" s="1" t="s">
        <v>8</v>
      </c>
      <c r="B98" s="1" t="s">
        <v>3882</v>
      </c>
      <c r="C98" s="1" t="s">
        <v>4203</v>
      </c>
      <c r="D98" s="1" t="s">
        <v>4204</v>
      </c>
      <c r="E98" s="1" t="s">
        <v>4205</v>
      </c>
      <c r="F98" s="1" t="s">
        <v>4206</v>
      </c>
      <c r="G98" s="1" t="s">
        <v>4207</v>
      </c>
      <c r="H98" s="1" t="s">
        <v>3</v>
      </c>
    </row>
    <row r="99">
      <c r="A99" s="1" t="s">
        <v>8</v>
      </c>
      <c r="B99" s="1" t="s">
        <v>3882</v>
      </c>
      <c r="C99" s="1" t="s">
        <v>4208</v>
      </c>
      <c r="D99" s="1" t="s">
        <v>4209</v>
      </c>
      <c r="E99" s="1" t="s">
        <v>3204</v>
      </c>
      <c r="F99" s="1" t="s">
        <v>4210</v>
      </c>
      <c r="G99" s="1" t="s">
        <v>3113</v>
      </c>
      <c r="H99" s="1" t="s">
        <v>3</v>
      </c>
    </row>
    <row r="100">
      <c r="A100" s="1" t="s">
        <v>8</v>
      </c>
      <c r="B100" s="1" t="s">
        <v>3882</v>
      </c>
      <c r="C100" s="1" t="s">
        <v>4211</v>
      </c>
      <c r="D100" s="1" t="s">
        <v>4212</v>
      </c>
      <c r="E100" s="1" t="s">
        <v>4213</v>
      </c>
      <c r="F100" s="1" t="s">
        <v>4214</v>
      </c>
      <c r="G100" s="1" t="s">
        <v>4215</v>
      </c>
      <c r="H100" s="1" t="s">
        <v>3</v>
      </c>
    </row>
    <row r="101">
      <c r="A101" s="1" t="s">
        <v>8</v>
      </c>
      <c r="B101" s="1" t="s">
        <v>3882</v>
      </c>
      <c r="C101" s="1" t="s">
        <v>4216</v>
      </c>
      <c r="D101" s="1" t="s">
        <v>4009</v>
      </c>
      <c r="E101" s="1" t="s">
        <v>4217</v>
      </c>
      <c r="F101" s="1" t="s">
        <v>4043</v>
      </c>
      <c r="G101" s="1" t="s">
        <v>4218</v>
      </c>
      <c r="H101" s="1" t="s">
        <v>3</v>
      </c>
    </row>
    <row r="102">
      <c r="A102" s="1" t="s">
        <v>8</v>
      </c>
      <c r="B102" s="1" t="s">
        <v>3882</v>
      </c>
      <c r="C102" s="1" t="s">
        <v>4219</v>
      </c>
      <c r="D102" s="1" t="s">
        <v>4098</v>
      </c>
      <c r="E102" s="1" t="s">
        <v>4096</v>
      </c>
      <c r="F102" s="1" t="s">
        <v>4099</v>
      </c>
      <c r="G102" s="1" t="s">
        <v>4220</v>
      </c>
      <c r="H102" s="1" t="s">
        <v>3</v>
      </c>
    </row>
    <row r="103">
      <c r="A103" s="1" t="s">
        <v>8</v>
      </c>
      <c r="B103" s="1" t="s">
        <v>3882</v>
      </c>
      <c r="C103" s="1" t="s">
        <v>4221</v>
      </c>
      <c r="D103" s="1" t="s">
        <v>4222</v>
      </c>
      <c r="E103" s="1" t="s">
        <v>4223</v>
      </c>
      <c r="F103" s="1" t="s">
        <v>4224</v>
      </c>
      <c r="G103" s="1" t="s">
        <v>4225</v>
      </c>
      <c r="H103" s="1" t="s">
        <v>4</v>
      </c>
    </row>
    <row r="104">
      <c r="A104" s="1" t="s">
        <v>8</v>
      </c>
      <c r="B104" s="1" t="s">
        <v>3882</v>
      </c>
      <c r="C104" s="1" t="s">
        <v>4226</v>
      </c>
      <c r="D104" s="1" t="s">
        <v>4227</v>
      </c>
      <c r="E104" s="1" t="s">
        <v>4228</v>
      </c>
      <c r="F104" s="1" t="s">
        <v>4229</v>
      </c>
      <c r="G104" s="1" t="s">
        <v>4230</v>
      </c>
      <c r="H104" s="1" t="s">
        <v>3</v>
      </c>
    </row>
    <row r="105">
      <c r="A105" s="1" t="s">
        <v>8</v>
      </c>
      <c r="B105" s="1" t="s">
        <v>3882</v>
      </c>
      <c r="C105" s="1" t="s">
        <v>4231</v>
      </c>
      <c r="D105" s="1" t="s">
        <v>3044</v>
      </c>
      <c r="E105" s="1" t="s">
        <v>3426</v>
      </c>
      <c r="F105" s="1" t="s">
        <v>3478</v>
      </c>
      <c r="G105" s="1" t="s">
        <v>3565</v>
      </c>
      <c r="H105" s="1" t="s">
        <v>5</v>
      </c>
    </row>
    <row r="106">
      <c r="A106" s="1" t="s">
        <v>8</v>
      </c>
      <c r="B106" s="1" t="s">
        <v>3882</v>
      </c>
      <c r="C106" s="1" t="s">
        <v>4232</v>
      </c>
      <c r="D106" s="1" t="s">
        <v>4233</v>
      </c>
      <c r="E106" s="1" t="s">
        <v>4234</v>
      </c>
      <c r="F106" s="1" t="s">
        <v>4235</v>
      </c>
      <c r="G106" s="1" t="s">
        <v>4236</v>
      </c>
      <c r="H106" s="1" t="s">
        <v>3</v>
      </c>
    </row>
    <row r="107">
      <c r="A107" s="1" t="s">
        <v>8</v>
      </c>
      <c r="B107" s="1" t="s">
        <v>3882</v>
      </c>
      <c r="C107" s="1" t="s">
        <v>4237</v>
      </c>
      <c r="D107" s="1" t="s">
        <v>4108</v>
      </c>
      <c r="E107" s="1" t="s">
        <v>4165</v>
      </c>
      <c r="F107" s="1" t="s">
        <v>3632</v>
      </c>
      <c r="G107" s="1" t="s">
        <v>4166</v>
      </c>
      <c r="H107" s="1" t="s">
        <v>3</v>
      </c>
    </row>
    <row r="108">
      <c r="A108" s="1" t="s">
        <v>8</v>
      </c>
      <c r="B108" s="1" t="s">
        <v>3882</v>
      </c>
      <c r="C108" s="1" t="s">
        <v>4238</v>
      </c>
      <c r="D108" s="1" t="s">
        <v>4036</v>
      </c>
      <c r="E108" s="1" t="s">
        <v>3362</v>
      </c>
      <c r="F108" s="1" t="s">
        <v>4239</v>
      </c>
      <c r="G108" s="1" t="s">
        <v>3947</v>
      </c>
      <c r="H108" s="1" t="s">
        <v>3</v>
      </c>
    </row>
    <row r="109">
      <c r="A109" s="1" t="s">
        <v>8</v>
      </c>
      <c r="B109" s="1" t="s">
        <v>3882</v>
      </c>
      <c r="C109" s="1" t="s">
        <v>4240</v>
      </c>
      <c r="D109" s="1" t="s">
        <v>3889</v>
      </c>
      <c r="E109" s="1" t="s">
        <v>3897</v>
      </c>
      <c r="F109" s="1" t="s">
        <v>3899</v>
      </c>
      <c r="G109" s="1" t="s">
        <v>4241</v>
      </c>
      <c r="H109" s="1" t="s">
        <v>3</v>
      </c>
    </row>
    <row r="110">
      <c r="A110" s="1" t="s">
        <v>8</v>
      </c>
      <c r="B110" s="1" t="s">
        <v>3882</v>
      </c>
      <c r="C110" s="1" t="s">
        <v>4242</v>
      </c>
      <c r="D110" s="1" t="s">
        <v>4004</v>
      </c>
      <c r="E110" s="1" t="s">
        <v>4093</v>
      </c>
      <c r="F110" s="1" t="s">
        <v>4003</v>
      </c>
      <c r="G110" s="1" t="s">
        <v>4094</v>
      </c>
      <c r="H110" s="1" t="s">
        <v>3</v>
      </c>
    </row>
    <row r="111">
      <c r="A111" s="1" t="s">
        <v>8</v>
      </c>
      <c r="B111" s="1" t="s">
        <v>3882</v>
      </c>
      <c r="C111" s="1" t="s">
        <v>4243</v>
      </c>
      <c r="D111" s="1" t="s">
        <v>4244</v>
      </c>
      <c r="E111" s="1" t="s">
        <v>3432</v>
      </c>
      <c r="F111" s="1" t="s">
        <v>3433</v>
      </c>
      <c r="G111" s="1" t="s">
        <v>3434</v>
      </c>
      <c r="H111" s="1" t="s">
        <v>3</v>
      </c>
    </row>
    <row r="112">
      <c r="A112" s="1" t="s">
        <v>8</v>
      </c>
      <c r="B112" s="1" t="s">
        <v>3882</v>
      </c>
      <c r="C112" s="1" t="s">
        <v>4245</v>
      </c>
      <c r="D112" s="1" t="s">
        <v>3897</v>
      </c>
      <c r="E112" s="1" t="s">
        <v>3899</v>
      </c>
      <c r="F112" s="1" t="s">
        <v>4054</v>
      </c>
      <c r="G112" s="1" t="s">
        <v>3898</v>
      </c>
      <c r="H112" s="1" t="s">
        <v>3</v>
      </c>
    </row>
    <row r="113">
      <c r="A113" s="1" t="s">
        <v>8</v>
      </c>
      <c r="B113" s="1" t="s">
        <v>3882</v>
      </c>
      <c r="C113" s="1" t="s">
        <v>4246</v>
      </c>
      <c r="D113" s="1" t="s">
        <v>3947</v>
      </c>
      <c r="E113" s="1" t="s">
        <v>3362</v>
      </c>
      <c r="F113" s="1" t="s">
        <v>3925</v>
      </c>
      <c r="G113" s="1" t="s">
        <v>3948</v>
      </c>
      <c r="H113" s="1" t="s">
        <v>3</v>
      </c>
    </row>
    <row r="114">
      <c r="A114" s="1" t="s">
        <v>8</v>
      </c>
      <c r="B114" s="1" t="s">
        <v>3882</v>
      </c>
      <c r="C114" s="1" t="s">
        <v>4247</v>
      </c>
      <c r="D114" s="1" t="s">
        <v>4248</v>
      </c>
      <c r="E114" s="1" t="s">
        <v>4249</v>
      </c>
      <c r="F114" s="1" t="s">
        <v>4250</v>
      </c>
      <c r="G114" s="1" t="s">
        <v>4251</v>
      </c>
      <c r="H114" s="1" t="s">
        <v>3</v>
      </c>
    </row>
    <row r="115">
      <c r="A115" s="1" t="s">
        <v>8</v>
      </c>
      <c r="B115" s="1" t="s">
        <v>3882</v>
      </c>
      <c r="C115" s="1" t="s">
        <v>4252</v>
      </c>
      <c r="D115" s="1">
        <v>2.0</v>
      </c>
      <c r="E115" s="1">
        <v>1.0</v>
      </c>
      <c r="F115" s="1">
        <v>3.0</v>
      </c>
      <c r="G115" s="1" t="s">
        <v>417</v>
      </c>
      <c r="H115" s="1" t="s">
        <v>3</v>
      </c>
    </row>
    <row r="116">
      <c r="A116" s="1" t="s">
        <v>8</v>
      </c>
      <c r="B116" s="1" t="s">
        <v>3882</v>
      </c>
      <c r="C116" s="1" t="s">
        <v>4253</v>
      </c>
      <c r="D116" s="1" t="s">
        <v>4057</v>
      </c>
      <c r="E116" s="1" t="s">
        <v>3632</v>
      </c>
      <c r="F116" s="1" t="s">
        <v>4254</v>
      </c>
      <c r="G116" s="1" t="s">
        <v>4255</v>
      </c>
      <c r="H116" s="1" t="s">
        <v>3</v>
      </c>
    </row>
    <row r="117">
      <c r="A117" s="1" t="s">
        <v>8</v>
      </c>
      <c r="B117" s="1" t="s">
        <v>3882</v>
      </c>
      <c r="C117" s="1" t="s">
        <v>4256</v>
      </c>
      <c r="D117" s="1" t="s">
        <v>4254</v>
      </c>
      <c r="E117" s="1" t="s">
        <v>4255</v>
      </c>
      <c r="F117" s="1" t="s">
        <v>3632</v>
      </c>
      <c r="G117" s="1" t="s">
        <v>4257</v>
      </c>
      <c r="H117" s="1" t="s">
        <v>3</v>
      </c>
    </row>
    <row r="118">
      <c r="A118" s="1" t="s">
        <v>8</v>
      </c>
      <c r="B118" s="1" t="s">
        <v>3882</v>
      </c>
      <c r="C118" s="1" t="s">
        <v>4258</v>
      </c>
      <c r="D118" s="1" t="s">
        <v>4014</v>
      </c>
      <c r="E118" s="1" t="s">
        <v>4016</v>
      </c>
      <c r="F118" s="1" t="s">
        <v>4259</v>
      </c>
      <c r="G118" s="1" t="s">
        <v>4015</v>
      </c>
      <c r="H118" s="1" t="s">
        <v>3</v>
      </c>
    </row>
    <row r="119">
      <c r="A119" s="1" t="s">
        <v>8</v>
      </c>
      <c r="B119" s="1" t="s">
        <v>3882</v>
      </c>
      <c r="C119" s="1" t="s">
        <v>4260</v>
      </c>
      <c r="D119" s="1" t="s">
        <v>4016</v>
      </c>
      <c r="E119" s="1" t="s">
        <v>4014</v>
      </c>
      <c r="F119" s="1" t="s">
        <v>4259</v>
      </c>
      <c r="G119" s="1" t="s">
        <v>4013</v>
      </c>
      <c r="H119" s="1" t="s">
        <v>3</v>
      </c>
    </row>
    <row r="120">
      <c r="A120" s="1" t="s">
        <v>8</v>
      </c>
      <c r="B120" s="1" t="s">
        <v>3882</v>
      </c>
      <c r="C120" s="1" t="s">
        <v>4261</v>
      </c>
      <c r="D120" s="1" t="s">
        <v>4262</v>
      </c>
      <c r="E120" s="1" t="s">
        <v>4263</v>
      </c>
      <c r="F120" s="1" t="s">
        <v>4264</v>
      </c>
      <c r="G120" s="1" t="s">
        <v>4265</v>
      </c>
      <c r="H120" s="1" t="s">
        <v>3</v>
      </c>
    </row>
    <row r="121">
      <c r="A121" s="1" t="s">
        <v>8</v>
      </c>
      <c r="B121" s="1" t="s">
        <v>3882</v>
      </c>
      <c r="C121" s="1" t="s">
        <v>4266</v>
      </c>
      <c r="D121" s="13">
        <v>0.21</v>
      </c>
      <c r="E121" s="13">
        <v>0.1</v>
      </c>
      <c r="F121" s="13">
        <v>0.2</v>
      </c>
      <c r="G121" s="13">
        <v>1.0</v>
      </c>
      <c r="H121" s="1" t="s">
        <v>3</v>
      </c>
    </row>
    <row r="122">
      <c r="A122" s="1" t="s">
        <v>8</v>
      </c>
      <c r="B122" s="1" t="s">
        <v>3882</v>
      </c>
      <c r="C122" s="1" t="s">
        <v>4267</v>
      </c>
      <c r="D122" s="1" t="s">
        <v>4268</v>
      </c>
      <c r="E122" s="1" t="s">
        <v>4269</v>
      </c>
      <c r="F122" s="1" t="s">
        <v>4270</v>
      </c>
      <c r="G122" s="1" t="s">
        <v>4271</v>
      </c>
      <c r="H122" s="1" t="s">
        <v>3</v>
      </c>
    </row>
    <row r="123">
      <c r="A123" s="1" t="s">
        <v>8</v>
      </c>
      <c r="B123" s="1" t="s">
        <v>3882</v>
      </c>
      <c r="C123" s="1" t="s">
        <v>4272</v>
      </c>
      <c r="D123" s="1" t="s">
        <v>4050</v>
      </c>
      <c r="E123" s="1" t="s">
        <v>4273</v>
      </c>
      <c r="F123" s="1" t="s">
        <v>4274</v>
      </c>
      <c r="G123" s="1" t="s">
        <v>4275</v>
      </c>
      <c r="H123" s="1" t="s">
        <v>3</v>
      </c>
    </row>
    <row r="124">
      <c r="A124" s="1" t="s">
        <v>8</v>
      </c>
      <c r="B124" s="1" t="s">
        <v>3882</v>
      </c>
      <c r="C124" s="1" t="s">
        <v>4276</v>
      </c>
      <c r="D124" s="1" t="s">
        <v>4181</v>
      </c>
      <c r="E124" s="1" t="s">
        <v>4182</v>
      </c>
      <c r="F124" s="1" t="s">
        <v>4183</v>
      </c>
      <c r="G124" s="1" t="s">
        <v>3632</v>
      </c>
      <c r="H124" s="1" t="s">
        <v>3</v>
      </c>
    </row>
    <row r="125">
      <c r="A125" s="1" t="s">
        <v>8</v>
      </c>
      <c r="B125" s="1" t="s">
        <v>3882</v>
      </c>
      <c r="C125" s="1" t="s">
        <v>4277</v>
      </c>
      <c r="D125" s="1" t="s">
        <v>4278</v>
      </c>
      <c r="E125" s="1" t="s">
        <v>4279</v>
      </c>
      <c r="F125" s="1" t="s">
        <v>4280</v>
      </c>
      <c r="G125" s="1" t="s">
        <v>4281</v>
      </c>
      <c r="H125" s="1" t="s">
        <v>3</v>
      </c>
    </row>
    <row r="126">
      <c r="A126" s="1" t="s">
        <v>8</v>
      </c>
      <c r="B126" s="1" t="s">
        <v>3882</v>
      </c>
      <c r="C126" s="1" t="s">
        <v>4282</v>
      </c>
      <c r="D126" s="1" t="s">
        <v>4283</v>
      </c>
      <c r="E126" s="1" t="s">
        <v>4062</v>
      </c>
      <c r="F126" s="1" t="s">
        <v>4284</v>
      </c>
      <c r="G126" s="1" t="s">
        <v>4285</v>
      </c>
      <c r="H126" s="1" t="s">
        <v>3</v>
      </c>
    </row>
    <row r="127">
      <c r="A127" s="1" t="s">
        <v>8</v>
      </c>
      <c r="B127" s="1" t="s">
        <v>3882</v>
      </c>
      <c r="C127" s="1" t="s">
        <v>4286</v>
      </c>
      <c r="D127" s="1" t="s">
        <v>4287</v>
      </c>
      <c r="E127" s="1" t="s">
        <v>4288</v>
      </c>
      <c r="F127" s="1" t="s">
        <v>4289</v>
      </c>
      <c r="G127" s="1" t="s">
        <v>4290</v>
      </c>
      <c r="H127" s="1" t="s">
        <v>3</v>
      </c>
    </row>
    <row r="128">
      <c r="A128" s="1" t="s">
        <v>8</v>
      </c>
      <c r="B128" s="1" t="s">
        <v>3882</v>
      </c>
      <c r="C128" s="1" t="s">
        <v>4291</v>
      </c>
      <c r="D128" s="1" t="s">
        <v>4292</v>
      </c>
      <c r="E128" s="1" t="s">
        <v>4293</v>
      </c>
      <c r="F128" s="1" t="s">
        <v>4294</v>
      </c>
      <c r="G128" s="1" t="s">
        <v>4295</v>
      </c>
      <c r="H128" s="1" t="s">
        <v>3</v>
      </c>
    </row>
    <row r="129">
      <c r="A129" s="1" t="s">
        <v>8</v>
      </c>
      <c r="B129" s="1" t="s">
        <v>3882</v>
      </c>
      <c r="C129" s="1" t="s">
        <v>4296</v>
      </c>
      <c r="D129" s="1" t="s">
        <v>4297</v>
      </c>
      <c r="E129" s="1" t="s">
        <v>4298</v>
      </c>
      <c r="F129" s="1" t="s">
        <v>4299</v>
      </c>
      <c r="G129" s="1" t="s">
        <v>4300</v>
      </c>
      <c r="H129" s="1" t="s">
        <v>3</v>
      </c>
    </row>
    <row r="130">
      <c r="A130" s="1" t="s">
        <v>8</v>
      </c>
      <c r="B130" s="1" t="s">
        <v>3882</v>
      </c>
      <c r="C130" s="1" t="s">
        <v>4301</v>
      </c>
      <c r="D130" s="1" t="s">
        <v>4302</v>
      </c>
      <c r="E130" s="1" t="s">
        <v>4303</v>
      </c>
      <c r="F130" s="1" t="s">
        <v>4304</v>
      </c>
      <c r="G130" s="1" t="s">
        <v>4305</v>
      </c>
      <c r="H130" s="1" t="s">
        <v>3</v>
      </c>
    </row>
    <row r="131">
      <c r="A131" s="1" t="s">
        <v>8</v>
      </c>
      <c r="B131" s="1" t="s">
        <v>3882</v>
      </c>
      <c r="C131" s="1" t="s">
        <v>4306</v>
      </c>
      <c r="D131" s="1" t="s">
        <v>4307</v>
      </c>
      <c r="E131" s="1" t="s">
        <v>3953</v>
      </c>
      <c r="F131" s="1" t="s">
        <v>4308</v>
      </c>
      <c r="G131" s="1" t="s">
        <v>3948</v>
      </c>
      <c r="H131" s="1" t="s">
        <v>3</v>
      </c>
    </row>
    <row r="132">
      <c r="A132" s="1" t="s">
        <v>8</v>
      </c>
      <c r="B132" s="1" t="s">
        <v>3882</v>
      </c>
      <c r="C132" s="1" t="s">
        <v>4309</v>
      </c>
      <c r="D132" s="1" t="s">
        <v>4310</v>
      </c>
      <c r="E132" s="1" t="s">
        <v>4311</v>
      </c>
      <c r="F132" s="1" t="s">
        <v>4103</v>
      </c>
      <c r="G132" s="1" t="s">
        <v>4312</v>
      </c>
      <c r="H132" s="1" t="s">
        <v>3</v>
      </c>
    </row>
    <row r="133">
      <c r="A133" s="1" t="s">
        <v>8</v>
      </c>
      <c r="B133" s="1" t="s">
        <v>3882</v>
      </c>
      <c r="C133" s="1" t="s">
        <v>4313</v>
      </c>
      <c r="D133" s="1" t="s">
        <v>4181</v>
      </c>
      <c r="E133" s="1" t="s">
        <v>4183</v>
      </c>
      <c r="F133" s="1" t="s">
        <v>3632</v>
      </c>
      <c r="G133" s="1" t="s">
        <v>4182</v>
      </c>
      <c r="H133" s="1" t="s">
        <v>3</v>
      </c>
    </row>
    <row r="134">
      <c r="A134" s="1" t="s">
        <v>8</v>
      </c>
      <c r="B134" s="1" t="s">
        <v>3882</v>
      </c>
      <c r="C134" s="1" t="s">
        <v>4314</v>
      </c>
      <c r="D134" s="13">
        <v>0.36</v>
      </c>
      <c r="E134" s="13">
        <v>0.2</v>
      </c>
      <c r="F134" s="13">
        <v>0.4</v>
      </c>
      <c r="G134" s="13">
        <v>0.44</v>
      </c>
      <c r="H134" s="1" t="s">
        <v>3</v>
      </c>
    </row>
    <row r="135">
      <c r="A135" s="1" t="s">
        <v>8</v>
      </c>
      <c r="B135" s="1" t="s">
        <v>3882</v>
      </c>
      <c r="C135" s="1" t="s">
        <v>4315</v>
      </c>
      <c r="D135" s="1" t="s">
        <v>3953</v>
      </c>
      <c r="E135" s="1" t="s">
        <v>4307</v>
      </c>
      <c r="F135" s="1" t="s">
        <v>3947</v>
      </c>
      <c r="G135" s="1" t="s">
        <v>3925</v>
      </c>
      <c r="H135" s="1" t="s">
        <v>3</v>
      </c>
    </row>
    <row r="136">
      <c r="A136" s="1" t="s">
        <v>8</v>
      </c>
      <c r="B136" s="1" t="s">
        <v>3882</v>
      </c>
      <c r="C136" s="1" t="s">
        <v>4316</v>
      </c>
      <c r="D136" s="1" t="s">
        <v>4317</v>
      </c>
      <c r="E136" s="1" t="s">
        <v>4318</v>
      </c>
      <c r="F136" s="1" t="s">
        <v>4319</v>
      </c>
      <c r="G136" s="1" t="s">
        <v>4320</v>
      </c>
      <c r="H136" s="1" t="s">
        <v>3</v>
      </c>
    </row>
    <row r="137">
      <c r="A137" s="1" t="s">
        <v>8</v>
      </c>
      <c r="B137" s="1" t="s">
        <v>3882</v>
      </c>
      <c r="C137" s="1" t="s">
        <v>4321</v>
      </c>
      <c r="D137" s="1" t="s">
        <v>4322</v>
      </c>
      <c r="E137" s="1" t="s">
        <v>4323</v>
      </c>
      <c r="F137" s="1" t="s">
        <v>4324</v>
      </c>
      <c r="G137" s="1" t="s">
        <v>4325</v>
      </c>
      <c r="H137" s="1" t="s">
        <v>3</v>
      </c>
    </row>
    <row r="138">
      <c r="A138" s="1" t="s">
        <v>8</v>
      </c>
      <c r="B138" s="1" t="s">
        <v>3882</v>
      </c>
      <c r="C138" s="1" t="s">
        <v>4326</v>
      </c>
      <c r="D138" s="1" t="s">
        <v>3947</v>
      </c>
      <c r="E138" s="1" t="s">
        <v>3362</v>
      </c>
      <c r="F138" s="1" t="s">
        <v>3925</v>
      </c>
      <c r="G138" s="1" t="s">
        <v>3948</v>
      </c>
      <c r="H138" s="1" t="s">
        <v>3</v>
      </c>
    </row>
    <row r="139">
      <c r="A139" s="1" t="s">
        <v>8</v>
      </c>
      <c r="B139" s="1" t="s">
        <v>3882</v>
      </c>
      <c r="C139" s="1" t="s">
        <v>4327</v>
      </c>
      <c r="D139" s="1" t="s">
        <v>4328</v>
      </c>
      <c r="E139" s="1" t="s">
        <v>4329</v>
      </c>
      <c r="F139" s="1" t="s">
        <v>4330</v>
      </c>
      <c r="G139" s="1" t="s">
        <v>4331</v>
      </c>
      <c r="H139" s="1" t="s">
        <v>3</v>
      </c>
    </row>
    <row r="140">
      <c r="A140" s="1" t="s">
        <v>8</v>
      </c>
      <c r="B140" s="1" t="s">
        <v>3882</v>
      </c>
      <c r="C140" s="1" t="s">
        <v>4332</v>
      </c>
      <c r="D140" s="1" t="s">
        <v>4254</v>
      </c>
      <c r="E140" s="1" t="s">
        <v>4333</v>
      </c>
      <c r="F140" s="1" t="s">
        <v>4334</v>
      </c>
      <c r="G140" s="1" t="s">
        <v>4255</v>
      </c>
      <c r="H140" s="1" t="s">
        <v>3</v>
      </c>
    </row>
    <row r="141">
      <c r="A141" s="1" t="s">
        <v>8</v>
      </c>
      <c r="B141" s="1" t="s">
        <v>3882</v>
      </c>
      <c r="C141" s="1" t="s">
        <v>4335</v>
      </c>
      <c r="D141" s="1" t="s">
        <v>4336</v>
      </c>
      <c r="E141" s="1" t="s">
        <v>4337</v>
      </c>
      <c r="F141" s="1" t="s">
        <v>4338</v>
      </c>
      <c r="G141" s="1" t="s">
        <v>4339</v>
      </c>
      <c r="H141" s="1" t="s">
        <v>3</v>
      </c>
    </row>
    <row r="142">
      <c r="A142" s="1" t="s">
        <v>8</v>
      </c>
      <c r="B142" s="1" t="s">
        <v>3882</v>
      </c>
      <c r="C142" s="1" t="s">
        <v>4340</v>
      </c>
      <c r="D142" s="1" t="s">
        <v>4341</v>
      </c>
      <c r="E142" s="1" t="s">
        <v>3948</v>
      </c>
      <c r="F142" s="1" t="s">
        <v>3947</v>
      </c>
      <c r="G142" s="1" t="s">
        <v>4342</v>
      </c>
      <c r="H142" s="1" t="s">
        <v>3</v>
      </c>
    </row>
    <row r="143">
      <c r="A143" s="1" t="s">
        <v>8</v>
      </c>
      <c r="B143" s="1" t="s">
        <v>3882</v>
      </c>
      <c r="C143" s="1" t="s">
        <v>4343</v>
      </c>
      <c r="D143" s="1" t="s">
        <v>1551</v>
      </c>
      <c r="E143" s="1" t="s">
        <v>2028</v>
      </c>
      <c r="F143" s="10">
        <v>3.386111111111111</v>
      </c>
      <c r="G143" s="1" t="s">
        <v>1552</v>
      </c>
      <c r="H143" s="1" t="s">
        <v>3</v>
      </c>
    </row>
    <row r="144">
      <c r="A144" s="1" t="s">
        <v>8</v>
      </c>
      <c r="B144" s="1" t="s">
        <v>3882</v>
      </c>
      <c r="C144" s="1" t="s">
        <v>4344</v>
      </c>
      <c r="D144" s="1" t="s">
        <v>4345</v>
      </c>
      <c r="E144" s="1" t="s">
        <v>4346</v>
      </c>
      <c r="F144" s="1" t="s">
        <v>4347</v>
      </c>
      <c r="G144" s="1" t="s">
        <v>4348</v>
      </c>
      <c r="H144" s="1" t="s">
        <v>3</v>
      </c>
    </row>
    <row r="145">
      <c r="A145" s="1" t="s">
        <v>8</v>
      </c>
      <c r="B145" s="1" t="s">
        <v>3882</v>
      </c>
      <c r="C145" s="1" t="s">
        <v>4349</v>
      </c>
      <c r="D145" s="1" t="s">
        <v>4350</v>
      </c>
      <c r="E145" s="1" t="s">
        <v>4351</v>
      </c>
      <c r="F145" s="1" t="s">
        <v>4352</v>
      </c>
      <c r="G145" s="1" t="s">
        <v>4353</v>
      </c>
      <c r="H145" s="1" t="s">
        <v>3</v>
      </c>
    </row>
    <row r="146">
      <c r="A146" s="1" t="s">
        <v>8</v>
      </c>
      <c r="B146" s="1" t="s">
        <v>3882</v>
      </c>
      <c r="C146" s="1" t="s">
        <v>4354</v>
      </c>
      <c r="D146" s="1" t="s">
        <v>2448</v>
      </c>
      <c r="E146" s="1" t="s">
        <v>2449</v>
      </c>
      <c r="F146" s="1" t="s">
        <v>4355</v>
      </c>
      <c r="G146" s="1" t="s">
        <v>4356</v>
      </c>
      <c r="H146" s="1" t="s">
        <v>3</v>
      </c>
    </row>
    <row r="147">
      <c r="A147" s="1" t="s">
        <v>8</v>
      </c>
      <c r="B147" s="1" t="s">
        <v>3882</v>
      </c>
      <c r="C147" s="1" t="s">
        <v>4357</v>
      </c>
      <c r="D147" s="1" t="s">
        <v>4307</v>
      </c>
      <c r="E147" s="1" t="s">
        <v>3953</v>
      </c>
      <c r="F147" s="1" t="s">
        <v>4308</v>
      </c>
      <c r="G147" s="1" t="s">
        <v>4358</v>
      </c>
      <c r="H147" s="1" t="s">
        <v>3</v>
      </c>
    </row>
    <row r="148">
      <c r="A148" s="1" t="s">
        <v>8</v>
      </c>
      <c r="B148" s="1" t="s">
        <v>3882</v>
      </c>
      <c r="C148" s="1" t="s">
        <v>4359</v>
      </c>
      <c r="D148" s="1" t="s">
        <v>4360</v>
      </c>
      <c r="E148" s="1" t="s">
        <v>2634</v>
      </c>
      <c r="F148" s="1" t="s">
        <v>4361</v>
      </c>
      <c r="G148" s="1" t="s">
        <v>4362</v>
      </c>
      <c r="H148" s="1" t="s">
        <v>3</v>
      </c>
    </row>
    <row r="149">
      <c r="A149" s="1" t="s">
        <v>8</v>
      </c>
      <c r="B149" s="1" t="s">
        <v>3882</v>
      </c>
      <c r="C149" s="1" t="s">
        <v>4363</v>
      </c>
      <c r="D149" s="1" t="s">
        <v>4364</v>
      </c>
      <c r="E149" s="1" t="s">
        <v>3414</v>
      </c>
      <c r="F149" s="1" t="s">
        <v>3886</v>
      </c>
      <c r="G149" s="1" t="s">
        <v>4365</v>
      </c>
      <c r="H149" s="1" t="s">
        <v>3</v>
      </c>
    </row>
    <row r="150">
      <c r="A150" s="1" t="s">
        <v>8</v>
      </c>
      <c r="B150" s="1" t="s">
        <v>3882</v>
      </c>
      <c r="C150" s="1" t="s">
        <v>4366</v>
      </c>
      <c r="D150" s="1" t="s">
        <v>2001</v>
      </c>
      <c r="E150" s="1" t="s">
        <v>4367</v>
      </c>
      <c r="F150" s="1" t="s">
        <v>4368</v>
      </c>
      <c r="G150" s="1" t="s">
        <v>22</v>
      </c>
      <c r="H150" s="1" t="s">
        <v>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4369</v>
      </c>
      <c r="C2" s="1" t="s">
        <v>4370</v>
      </c>
      <c r="D2" s="1" t="s">
        <v>4371</v>
      </c>
      <c r="E2" s="1" t="s">
        <v>4372</v>
      </c>
      <c r="F2" s="1" t="s">
        <v>4373</v>
      </c>
      <c r="G2" s="1" t="s">
        <v>4374</v>
      </c>
      <c r="H2" s="1" t="s">
        <v>3</v>
      </c>
    </row>
    <row r="3">
      <c r="A3" s="1" t="s">
        <v>355</v>
      </c>
      <c r="B3" s="1" t="s">
        <v>4369</v>
      </c>
      <c r="C3" s="1" t="s">
        <v>4375</v>
      </c>
      <c r="D3" s="1" t="s">
        <v>4376</v>
      </c>
      <c r="E3" s="1" t="s">
        <v>4377</v>
      </c>
      <c r="F3" s="1" t="s">
        <v>4378</v>
      </c>
      <c r="G3" s="1" t="s">
        <v>4379</v>
      </c>
      <c r="H3" s="1" t="s">
        <v>4</v>
      </c>
    </row>
    <row r="4">
      <c r="A4" s="1" t="s">
        <v>355</v>
      </c>
      <c r="B4" s="1" t="s">
        <v>4369</v>
      </c>
      <c r="C4" s="1" t="s">
        <v>4380</v>
      </c>
      <c r="D4" s="1" t="s">
        <v>4381</v>
      </c>
      <c r="E4" s="1" t="s">
        <v>4382</v>
      </c>
      <c r="F4" s="1" t="s">
        <v>4383</v>
      </c>
      <c r="G4" s="1" t="s">
        <v>4384</v>
      </c>
      <c r="H4" s="1" t="s">
        <v>5</v>
      </c>
    </row>
    <row r="5">
      <c r="A5" s="1" t="s">
        <v>355</v>
      </c>
      <c r="B5" s="1" t="s">
        <v>4369</v>
      </c>
      <c r="C5" s="1" t="s">
        <v>4385</v>
      </c>
      <c r="D5" s="1" t="s">
        <v>4386</v>
      </c>
      <c r="E5" s="1" t="s">
        <v>4387</v>
      </c>
      <c r="F5" s="1" t="s">
        <v>4388</v>
      </c>
      <c r="G5" s="1" t="s">
        <v>4389</v>
      </c>
      <c r="H5" s="1" t="s">
        <v>3</v>
      </c>
    </row>
    <row r="6">
      <c r="A6" s="1" t="s">
        <v>355</v>
      </c>
      <c r="B6" s="1" t="s">
        <v>4369</v>
      </c>
      <c r="C6" s="1" t="s">
        <v>4390</v>
      </c>
      <c r="D6" s="1" t="s">
        <v>4381</v>
      </c>
      <c r="E6" s="1" t="s">
        <v>4382</v>
      </c>
      <c r="F6" s="1" t="s">
        <v>4383</v>
      </c>
      <c r="G6" s="1" t="s">
        <v>4391</v>
      </c>
      <c r="H6" s="1" t="s">
        <v>4</v>
      </c>
    </row>
    <row r="7">
      <c r="A7" s="1" t="s">
        <v>355</v>
      </c>
      <c r="B7" s="1" t="s">
        <v>4369</v>
      </c>
      <c r="C7" s="1" t="s">
        <v>4392</v>
      </c>
      <c r="D7" s="1" t="s">
        <v>4393</v>
      </c>
      <c r="E7" s="1" t="s">
        <v>4394</v>
      </c>
      <c r="F7" s="1" t="s">
        <v>4395</v>
      </c>
      <c r="G7" s="1" t="s">
        <v>4396</v>
      </c>
      <c r="H7" s="1" t="s">
        <v>4</v>
      </c>
    </row>
    <row r="8">
      <c r="A8" s="1" t="s">
        <v>355</v>
      </c>
      <c r="B8" s="1" t="s">
        <v>4369</v>
      </c>
      <c r="C8" s="1" t="s">
        <v>4397</v>
      </c>
      <c r="D8" s="1" t="s">
        <v>4398</v>
      </c>
      <c r="E8" s="1" t="s">
        <v>4399</v>
      </c>
      <c r="F8" s="1" t="s">
        <v>4400</v>
      </c>
      <c r="G8" s="1" t="s">
        <v>4401</v>
      </c>
      <c r="H8" s="1" t="s">
        <v>3</v>
      </c>
    </row>
    <row r="9">
      <c r="A9" s="1" t="s">
        <v>355</v>
      </c>
      <c r="B9" s="1" t="s">
        <v>4369</v>
      </c>
      <c r="C9" s="1" t="s">
        <v>4402</v>
      </c>
      <c r="D9" s="1" t="s">
        <v>4403</v>
      </c>
      <c r="E9" s="1" t="s">
        <v>4404</v>
      </c>
      <c r="F9" s="1" t="s">
        <v>4405</v>
      </c>
      <c r="G9" s="1" t="s">
        <v>4406</v>
      </c>
      <c r="H9" s="1" t="s">
        <v>4</v>
      </c>
    </row>
    <row r="10">
      <c r="A10" s="1" t="s">
        <v>355</v>
      </c>
      <c r="B10" s="1" t="s">
        <v>4369</v>
      </c>
      <c r="C10" s="1" t="s">
        <v>4407</v>
      </c>
      <c r="D10" s="1" t="s">
        <v>3632</v>
      </c>
      <c r="E10" s="1" t="s">
        <v>4255</v>
      </c>
      <c r="F10" s="1" t="s">
        <v>4254</v>
      </c>
      <c r="G10" s="1" t="s">
        <v>4408</v>
      </c>
      <c r="H10" s="1" t="s">
        <v>5</v>
      </c>
    </row>
    <row r="11">
      <c r="A11" s="1" t="s">
        <v>355</v>
      </c>
      <c r="B11" s="1" t="s">
        <v>4369</v>
      </c>
      <c r="C11" s="1" t="s">
        <v>4409</v>
      </c>
      <c r="D11" s="1" t="s">
        <v>4410</v>
      </c>
      <c r="E11" s="1" t="s">
        <v>4411</v>
      </c>
      <c r="F11" s="1" t="s">
        <v>4412</v>
      </c>
      <c r="G11" s="1" t="s">
        <v>4413</v>
      </c>
      <c r="H11" s="1" t="s">
        <v>5</v>
      </c>
    </row>
    <row r="12">
      <c r="A12" s="1" t="s">
        <v>355</v>
      </c>
      <c r="B12" s="1" t="s">
        <v>4369</v>
      </c>
      <c r="C12" s="1" t="s">
        <v>4414</v>
      </c>
      <c r="D12" s="2">
        <v>46054.0</v>
      </c>
      <c r="E12" s="2">
        <v>46083.0</v>
      </c>
      <c r="F12" s="2">
        <v>46115.0</v>
      </c>
      <c r="G12" s="2">
        <v>46082.0</v>
      </c>
      <c r="H12" s="1" t="s">
        <v>4</v>
      </c>
    </row>
    <row r="13">
      <c r="A13" s="1" t="s">
        <v>355</v>
      </c>
      <c r="B13" s="1" t="s">
        <v>4369</v>
      </c>
      <c r="C13" s="1" t="s">
        <v>4415</v>
      </c>
      <c r="D13" s="1" t="s">
        <v>3886</v>
      </c>
      <c r="E13" s="1" t="s">
        <v>4046</v>
      </c>
      <c r="F13" s="1" t="s">
        <v>3948</v>
      </c>
      <c r="G13" s="1" t="s">
        <v>3947</v>
      </c>
      <c r="H13" s="1" t="s">
        <v>3</v>
      </c>
    </row>
    <row r="14">
      <c r="A14" s="1" t="s">
        <v>355</v>
      </c>
      <c r="B14" s="1" t="s">
        <v>4369</v>
      </c>
      <c r="C14" s="1" t="s">
        <v>4416</v>
      </c>
      <c r="D14" s="1" t="s">
        <v>4383</v>
      </c>
      <c r="E14" s="1" t="s">
        <v>4382</v>
      </c>
      <c r="F14" s="1" t="s">
        <v>4381</v>
      </c>
      <c r="G14" s="1" t="s">
        <v>4391</v>
      </c>
      <c r="H14" s="1" t="s">
        <v>5</v>
      </c>
    </row>
    <row r="15">
      <c r="A15" s="1" t="s">
        <v>355</v>
      </c>
      <c r="B15" s="1" t="s">
        <v>4369</v>
      </c>
      <c r="C15" s="1" t="s">
        <v>4417</v>
      </c>
      <c r="D15" s="1" t="s">
        <v>4372</v>
      </c>
      <c r="E15" s="1" t="s">
        <v>4373</v>
      </c>
      <c r="F15" s="1" t="s">
        <v>4418</v>
      </c>
      <c r="G15" s="1" t="s">
        <v>4419</v>
      </c>
      <c r="H15" s="1" t="s">
        <v>4</v>
      </c>
    </row>
    <row r="16">
      <c r="A16" s="1" t="s">
        <v>355</v>
      </c>
      <c r="B16" s="1" t="s">
        <v>4369</v>
      </c>
      <c r="C16" s="1" t="s">
        <v>4420</v>
      </c>
      <c r="D16" s="1" t="s">
        <v>4384</v>
      </c>
      <c r="E16" s="1" t="s">
        <v>4374</v>
      </c>
      <c r="F16" s="1" t="s">
        <v>4372</v>
      </c>
      <c r="G16" s="1" t="s">
        <v>4371</v>
      </c>
      <c r="H16" s="1" t="s">
        <v>3</v>
      </c>
    </row>
    <row r="17">
      <c r="A17" s="1" t="s">
        <v>355</v>
      </c>
      <c r="B17" s="1" t="s">
        <v>4369</v>
      </c>
      <c r="C17" s="1" t="s">
        <v>4421</v>
      </c>
      <c r="D17" s="1" t="s">
        <v>4422</v>
      </c>
      <c r="E17" s="1" t="s">
        <v>4423</v>
      </c>
      <c r="F17" s="1" t="s">
        <v>4424</v>
      </c>
      <c r="G17" s="1" t="s">
        <v>4425</v>
      </c>
      <c r="H17" s="1" t="s">
        <v>3</v>
      </c>
    </row>
    <row r="18">
      <c r="A18" s="1" t="s">
        <v>355</v>
      </c>
      <c r="B18" s="1" t="s">
        <v>4369</v>
      </c>
      <c r="C18" s="1" t="s">
        <v>4426</v>
      </c>
      <c r="D18" s="1" t="s">
        <v>4427</v>
      </c>
      <c r="E18" s="1" t="s">
        <v>4428</v>
      </c>
      <c r="F18" s="1" t="s">
        <v>4429</v>
      </c>
      <c r="G18" s="1" t="s">
        <v>4430</v>
      </c>
      <c r="H18" s="1" t="s">
        <v>4</v>
      </c>
    </row>
    <row r="19">
      <c r="A19" s="1" t="s">
        <v>355</v>
      </c>
      <c r="B19" s="1" t="s">
        <v>4369</v>
      </c>
      <c r="C19" s="1" t="s">
        <v>4431</v>
      </c>
      <c r="D19" s="1" t="s">
        <v>4432</v>
      </c>
      <c r="E19" s="1" t="s">
        <v>4433</v>
      </c>
      <c r="F19" s="1" t="s">
        <v>4434</v>
      </c>
      <c r="G19" s="1" t="s">
        <v>4435</v>
      </c>
      <c r="H19" s="1" t="s">
        <v>4</v>
      </c>
    </row>
    <row r="20">
      <c r="A20" s="1" t="s">
        <v>355</v>
      </c>
      <c r="B20" s="1" t="s">
        <v>4369</v>
      </c>
      <c r="C20" s="1" t="s">
        <v>4436</v>
      </c>
      <c r="D20" s="1" t="s">
        <v>3632</v>
      </c>
      <c r="E20" s="1" t="s">
        <v>4255</v>
      </c>
      <c r="F20" s="1" t="s">
        <v>4254</v>
      </c>
      <c r="G20" s="1" t="s">
        <v>4437</v>
      </c>
      <c r="H20" s="1" t="s">
        <v>5</v>
      </c>
    </row>
    <row r="21">
      <c r="A21" s="1" t="s">
        <v>355</v>
      </c>
      <c r="B21" s="1" t="s">
        <v>4369</v>
      </c>
      <c r="C21" s="1" t="s">
        <v>4438</v>
      </c>
      <c r="D21" s="1" t="s">
        <v>3947</v>
      </c>
      <c r="E21" s="1" t="s">
        <v>3925</v>
      </c>
      <c r="F21" s="1" t="s">
        <v>3362</v>
      </c>
      <c r="G21" s="1" t="s">
        <v>3948</v>
      </c>
      <c r="H21" s="1" t="s">
        <v>4</v>
      </c>
    </row>
    <row r="22">
      <c r="A22" s="1" t="s">
        <v>355</v>
      </c>
      <c r="B22" s="1" t="s">
        <v>4369</v>
      </c>
      <c r="C22" s="1" t="s">
        <v>4439</v>
      </c>
      <c r="D22" s="1" t="s">
        <v>4440</v>
      </c>
      <c r="E22" s="1" t="s">
        <v>3412</v>
      </c>
      <c r="F22" s="1" t="s">
        <v>3363</v>
      </c>
      <c r="G22" s="1" t="s">
        <v>3975</v>
      </c>
      <c r="H22" s="1" t="s">
        <v>4</v>
      </c>
    </row>
    <row r="23">
      <c r="A23" s="1" t="s">
        <v>355</v>
      </c>
      <c r="B23" s="1" t="s">
        <v>4369</v>
      </c>
      <c r="C23" s="1" t="s">
        <v>4441</v>
      </c>
      <c r="D23" s="1" t="s">
        <v>1552</v>
      </c>
      <c r="E23" s="1" t="s">
        <v>1932</v>
      </c>
      <c r="F23" s="6">
        <v>0.35208333333333336</v>
      </c>
      <c r="G23" s="1" t="s">
        <v>3152</v>
      </c>
      <c r="H23" s="1" t="s">
        <v>3</v>
      </c>
    </row>
    <row r="24">
      <c r="A24" s="1" t="s">
        <v>355</v>
      </c>
      <c r="B24" s="1" t="s">
        <v>4369</v>
      </c>
      <c r="C24" s="1" t="s">
        <v>4442</v>
      </c>
      <c r="D24" s="1" t="s">
        <v>4373</v>
      </c>
      <c r="E24" s="1" t="s">
        <v>4443</v>
      </c>
      <c r="F24" s="1" t="s">
        <v>4372</v>
      </c>
      <c r="G24" s="1" t="s">
        <v>4381</v>
      </c>
      <c r="H24" s="1" t="s">
        <v>4</v>
      </c>
    </row>
    <row r="25">
      <c r="A25" s="1" t="s">
        <v>355</v>
      </c>
      <c r="B25" s="1" t="s">
        <v>4369</v>
      </c>
      <c r="C25" s="1" t="s">
        <v>4444</v>
      </c>
      <c r="D25" s="1" t="s">
        <v>4445</v>
      </c>
      <c r="E25" s="1" t="s">
        <v>4446</v>
      </c>
      <c r="F25" s="1" t="s">
        <v>4447</v>
      </c>
      <c r="G25" s="1" t="s">
        <v>4448</v>
      </c>
      <c r="H25" s="1" t="s">
        <v>3</v>
      </c>
    </row>
    <row r="26">
      <c r="A26" s="1" t="s">
        <v>355</v>
      </c>
      <c r="B26" s="1" t="s">
        <v>4369</v>
      </c>
      <c r="C26" s="1" t="s">
        <v>4449</v>
      </c>
      <c r="D26" s="1" t="s">
        <v>2190</v>
      </c>
      <c r="E26" s="1" t="s">
        <v>4450</v>
      </c>
      <c r="F26" s="1" t="s">
        <v>2191</v>
      </c>
      <c r="G26" s="1" t="s">
        <v>4451</v>
      </c>
      <c r="H26" s="1" t="s">
        <v>3</v>
      </c>
    </row>
    <row r="27">
      <c r="A27" s="1" t="s">
        <v>355</v>
      </c>
      <c r="B27" s="1" t="s">
        <v>4369</v>
      </c>
      <c r="C27" s="1" t="s">
        <v>4452</v>
      </c>
      <c r="D27" s="1" t="s">
        <v>4453</v>
      </c>
      <c r="E27" s="1" t="s">
        <v>4454</v>
      </c>
      <c r="F27" s="1" t="s">
        <v>4455</v>
      </c>
      <c r="G27" s="1" t="s">
        <v>4456</v>
      </c>
      <c r="H27" s="1" t="s">
        <v>4</v>
      </c>
    </row>
    <row r="28">
      <c r="A28" s="1" t="s">
        <v>355</v>
      </c>
      <c r="B28" s="1" t="s">
        <v>4369</v>
      </c>
      <c r="C28" s="1" t="s">
        <v>4457</v>
      </c>
      <c r="D28" s="1" t="s">
        <v>4458</v>
      </c>
      <c r="E28" s="1" t="s">
        <v>4440</v>
      </c>
      <c r="F28" s="1" t="s">
        <v>3975</v>
      </c>
      <c r="G28" s="1" t="s">
        <v>4364</v>
      </c>
      <c r="H28" s="1" t="s">
        <v>4</v>
      </c>
    </row>
    <row r="29">
      <c r="A29" s="1" t="s">
        <v>355</v>
      </c>
      <c r="B29" s="1" t="s">
        <v>4369</v>
      </c>
      <c r="C29" s="1" t="s">
        <v>4459</v>
      </c>
      <c r="D29" s="1" t="s">
        <v>4450</v>
      </c>
      <c r="E29" s="1" t="s">
        <v>4460</v>
      </c>
      <c r="F29" s="1" t="s">
        <v>4461</v>
      </c>
      <c r="G29" s="1" t="s">
        <v>4462</v>
      </c>
      <c r="H29" s="1" t="s">
        <v>4</v>
      </c>
    </row>
    <row r="30">
      <c r="A30" s="1" t="s">
        <v>355</v>
      </c>
      <c r="B30" s="1" t="s">
        <v>4369</v>
      </c>
      <c r="C30" s="1" t="s">
        <v>4463</v>
      </c>
      <c r="D30" s="1" t="s">
        <v>2096</v>
      </c>
      <c r="E30" s="1" t="s">
        <v>2237</v>
      </c>
      <c r="F30" s="1" t="s">
        <v>2238</v>
      </c>
      <c r="G30" s="1" t="s">
        <v>2094</v>
      </c>
      <c r="H30" s="1" t="s">
        <v>4</v>
      </c>
    </row>
    <row r="31">
      <c r="A31" s="1" t="s">
        <v>355</v>
      </c>
      <c r="B31" s="1" t="s">
        <v>4369</v>
      </c>
      <c r="C31" s="1" t="s">
        <v>4464</v>
      </c>
      <c r="D31" s="1" t="s">
        <v>3414</v>
      </c>
      <c r="E31" s="1" t="s">
        <v>3364</v>
      </c>
      <c r="F31" s="1" t="s">
        <v>3886</v>
      </c>
      <c r="G31" s="1" t="s">
        <v>4364</v>
      </c>
      <c r="H31" s="1" t="s">
        <v>3</v>
      </c>
    </row>
    <row r="32">
      <c r="A32" s="1" t="s">
        <v>355</v>
      </c>
      <c r="B32" s="1" t="s">
        <v>4369</v>
      </c>
      <c r="C32" s="1" t="s">
        <v>4465</v>
      </c>
      <c r="D32" s="1" t="s">
        <v>4466</v>
      </c>
      <c r="E32" s="1" t="s">
        <v>4467</v>
      </c>
      <c r="F32" s="1" t="s">
        <v>4468</v>
      </c>
      <c r="G32" s="1" t="s">
        <v>22</v>
      </c>
      <c r="H32" s="1" t="s">
        <v>4</v>
      </c>
    </row>
    <row r="33">
      <c r="A33" s="1" t="s">
        <v>355</v>
      </c>
      <c r="B33" s="1" t="s">
        <v>4369</v>
      </c>
      <c r="C33" s="1" t="s">
        <v>4469</v>
      </c>
      <c r="D33" s="1" t="s">
        <v>4470</v>
      </c>
      <c r="E33" s="1" t="s">
        <v>4471</v>
      </c>
      <c r="F33" s="1" t="s">
        <v>4472</v>
      </c>
      <c r="G33" s="1" t="s">
        <v>4473</v>
      </c>
      <c r="H33" s="1" t="s">
        <v>3</v>
      </c>
    </row>
    <row r="34">
      <c r="A34" s="1" t="s">
        <v>355</v>
      </c>
      <c r="B34" s="1" t="s">
        <v>4369</v>
      </c>
      <c r="C34" s="1" t="s">
        <v>4474</v>
      </c>
      <c r="D34" s="1" t="s">
        <v>4475</v>
      </c>
      <c r="E34" s="1" t="s">
        <v>4450</v>
      </c>
      <c r="F34" s="1" t="s">
        <v>4476</v>
      </c>
      <c r="G34" s="1" t="s">
        <v>4477</v>
      </c>
      <c r="H34" s="1" t="s">
        <v>4</v>
      </c>
    </row>
    <row r="35">
      <c r="A35" s="1" t="s">
        <v>355</v>
      </c>
      <c r="B35" s="1" t="s">
        <v>4369</v>
      </c>
      <c r="C35" s="1" t="s">
        <v>4478</v>
      </c>
      <c r="D35" s="1" t="s">
        <v>4479</v>
      </c>
      <c r="E35" s="1" t="s">
        <v>4372</v>
      </c>
      <c r="F35" s="1" t="s">
        <v>4374</v>
      </c>
      <c r="G35" s="1" t="s">
        <v>4480</v>
      </c>
      <c r="H35" s="1" t="s">
        <v>3</v>
      </c>
    </row>
    <row r="36">
      <c r="A36" s="1" t="s">
        <v>355</v>
      </c>
      <c r="B36" s="1" t="s">
        <v>4369</v>
      </c>
      <c r="C36" s="1" t="s">
        <v>4481</v>
      </c>
      <c r="D36" s="1" t="s">
        <v>4482</v>
      </c>
      <c r="E36" s="1" t="s">
        <v>4483</v>
      </c>
      <c r="F36" s="1" t="s">
        <v>4484</v>
      </c>
      <c r="G36" s="1" t="s">
        <v>4485</v>
      </c>
      <c r="H36" s="1" t="s">
        <v>3</v>
      </c>
    </row>
    <row r="37">
      <c r="A37" s="1" t="s">
        <v>355</v>
      </c>
      <c r="B37" s="1" t="s">
        <v>4369</v>
      </c>
      <c r="C37" s="1" t="s">
        <v>4486</v>
      </c>
      <c r="D37" s="1" t="s">
        <v>4419</v>
      </c>
      <c r="E37" s="1" t="s">
        <v>4487</v>
      </c>
      <c r="F37" s="1" t="s">
        <v>4373</v>
      </c>
      <c r="G37" s="1" t="s">
        <v>4488</v>
      </c>
      <c r="H37" s="1" t="s">
        <v>4</v>
      </c>
    </row>
    <row r="38">
      <c r="A38" s="1" t="s">
        <v>355</v>
      </c>
      <c r="B38" s="1" t="s">
        <v>4369</v>
      </c>
      <c r="C38" s="1" t="s">
        <v>4489</v>
      </c>
      <c r="D38" s="1" t="s">
        <v>4490</v>
      </c>
      <c r="E38" s="1" t="s">
        <v>4491</v>
      </c>
      <c r="F38" s="1" t="s">
        <v>4492</v>
      </c>
      <c r="G38" s="1" t="s">
        <v>4493</v>
      </c>
      <c r="H38" s="1" t="s">
        <v>3</v>
      </c>
    </row>
    <row r="39">
      <c r="A39" s="1" t="s">
        <v>355</v>
      </c>
      <c r="B39" s="1" t="s">
        <v>4369</v>
      </c>
      <c r="C39" s="1" t="s">
        <v>4494</v>
      </c>
      <c r="D39" s="1" t="s">
        <v>4495</v>
      </c>
      <c r="E39" s="1" t="s">
        <v>2942</v>
      </c>
      <c r="F39" s="1" t="s">
        <v>2944</v>
      </c>
      <c r="G39" s="1" t="s">
        <v>2943</v>
      </c>
      <c r="H39" s="1" t="s">
        <v>4</v>
      </c>
    </row>
    <row r="40">
      <c r="A40" s="1" t="s">
        <v>355</v>
      </c>
      <c r="B40" s="1" t="s">
        <v>4369</v>
      </c>
      <c r="C40" s="1" t="s">
        <v>4496</v>
      </c>
      <c r="D40" s="1" t="s">
        <v>4497</v>
      </c>
      <c r="E40" s="1" t="s">
        <v>4498</v>
      </c>
      <c r="F40" s="1" t="s">
        <v>4499</v>
      </c>
      <c r="G40" s="1" t="s">
        <v>4500</v>
      </c>
      <c r="H40" s="1" t="s">
        <v>3</v>
      </c>
    </row>
    <row r="41">
      <c r="A41" s="1" t="s">
        <v>355</v>
      </c>
      <c r="B41" s="1" t="s">
        <v>4369</v>
      </c>
      <c r="C41" s="1" t="s">
        <v>4501</v>
      </c>
      <c r="D41" s="1" t="s">
        <v>3823</v>
      </c>
      <c r="E41" s="1" t="s">
        <v>4154</v>
      </c>
      <c r="F41" s="1" t="s">
        <v>4155</v>
      </c>
      <c r="G41" s="1" t="s">
        <v>4502</v>
      </c>
      <c r="H41" s="1" t="s">
        <v>5</v>
      </c>
    </row>
    <row r="42">
      <c r="A42" s="1" t="s">
        <v>355</v>
      </c>
      <c r="B42" s="1" t="s">
        <v>4369</v>
      </c>
      <c r="C42" s="1" t="s">
        <v>4503</v>
      </c>
      <c r="D42" s="1" t="s">
        <v>4504</v>
      </c>
      <c r="E42" s="1" t="s">
        <v>4505</v>
      </c>
      <c r="F42" s="1" t="s">
        <v>4506</v>
      </c>
      <c r="G42" s="1" t="s">
        <v>4507</v>
      </c>
      <c r="H42" s="1" t="s">
        <v>3</v>
      </c>
    </row>
    <row r="43">
      <c r="A43" s="1" t="s">
        <v>355</v>
      </c>
      <c r="B43" s="1" t="s">
        <v>4369</v>
      </c>
      <c r="C43" s="1" t="s">
        <v>4508</v>
      </c>
      <c r="D43" s="1" t="s">
        <v>4509</v>
      </c>
      <c r="E43" s="1" t="s">
        <v>4510</v>
      </c>
      <c r="F43" s="1" t="s">
        <v>4511</v>
      </c>
      <c r="G43" s="1" t="s">
        <v>4512</v>
      </c>
      <c r="H43" s="1" t="s">
        <v>4</v>
      </c>
    </row>
    <row r="44">
      <c r="A44" s="1" t="s">
        <v>355</v>
      </c>
      <c r="B44" s="1" t="s">
        <v>4369</v>
      </c>
      <c r="C44" s="1" t="s">
        <v>4513</v>
      </c>
      <c r="D44" s="1" t="s">
        <v>4514</v>
      </c>
      <c r="E44" s="1" t="s">
        <v>4515</v>
      </c>
      <c r="F44" s="1" t="s">
        <v>4516</v>
      </c>
      <c r="G44" s="1" t="s">
        <v>4517</v>
      </c>
      <c r="H44" s="1" t="s">
        <v>3</v>
      </c>
    </row>
    <row r="45">
      <c r="A45" s="1" t="s">
        <v>355</v>
      </c>
      <c r="B45" s="1" t="s">
        <v>4369</v>
      </c>
      <c r="C45" s="1" t="s">
        <v>4518</v>
      </c>
      <c r="D45" s="1" t="s">
        <v>4475</v>
      </c>
      <c r="E45" s="1" t="s">
        <v>4450</v>
      </c>
      <c r="F45" s="1" t="s">
        <v>2191</v>
      </c>
      <c r="G45" s="1" t="s">
        <v>3558</v>
      </c>
      <c r="H45" s="1" t="s">
        <v>4</v>
      </c>
    </row>
    <row r="46">
      <c r="A46" s="1" t="s">
        <v>355</v>
      </c>
      <c r="B46" s="1" t="s">
        <v>4369</v>
      </c>
      <c r="C46" s="1" t="s">
        <v>4519</v>
      </c>
      <c r="D46" s="1" t="s">
        <v>4036</v>
      </c>
      <c r="E46" s="1" t="s">
        <v>3362</v>
      </c>
      <c r="F46" s="1" t="s">
        <v>3947</v>
      </c>
      <c r="G46" s="1" t="s">
        <v>3414</v>
      </c>
      <c r="H46" s="1" t="s">
        <v>4</v>
      </c>
    </row>
    <row r="47">
      <c r="A47" s="1" t="s">
        <v>355</v>
      </c>
      <c r="B47" s="1" t="s">
        <v>4369</v>
      </c>
      <c r="C47" s="1" t="s">
        <v>4520</v>
      </c>
      <c r="D47" s="1" t="s">
        <v>4521</v>
      </c>
      <c r="E47" s="1" t="s">
        <v>4522</v>
      </c>
      <c r="F47" s="1" t="s">
        <v>4523</v>
      </c>
      <c r="G47" s="1" t="s">
        <v>4524</v>
      </c>
      <c r="H47" s="1" t="s">
        <v>4</v>
      </c>
    </row>
    <row r="48">
      <c r="A48" s="1" t="s">
        <v>355</v>
      </c>
      <c r="B48" s="1" t="s">
        <v>4369</v>
      </c>
      <c r="C48" s="1" t="s">
        <v>4525</v>
      </c>
      <c r="D48" s="1" t="s">
        <v>4526</v>
      </c>
      <c r="E48" s="1" t="s">
        <v>4527</v>
      </c>
      <c r="F48" s="1" t="s">
        <v>4528</v>
      </c>
      <c r="G48" s="1" t="s">
        <v>4529</v>
      </c>
      <c r="H48" s="1" t="s">
        <v>3</v>
      </c>
    </row>
    <row r="49">
      <c r="A49" s="1" t="s">
        <v>355</v>
      </c>
      <c r="B49" s="1" t="s">
        <v>4369</v>
      </c>
      <c r="C49" s="1" t="s">
        <v>4530</v>
      </c>
      <c r="D49" s="1" t="s">
        <v>4531</v>
      </c>
      <c r="E49" s="1" t="s">
        <v>4532</v>
      </c>
      <c r="F49" s="1" t="s">
        <v>4533</v>
      </c>
      <c r="G49" s="1" t="s">
        <v>4534</v>
      </c>
      <c r="H49" s="1" t="s">
        <v>4</v>
      </c>
    </row>
    <row r="50">
      <c r="A50" s="1" t="s">
        <v>355</v>
      </c>
      <c r="B50" s="1" t="s">
        <v>4369</v>
      </c>
      <c r="C50" s="1" t="s">
        <v>4535</v>
      </c>
      <c r="D50" s="1" t="s">
        <v>4536</v>
      </c>
      <c r="E50" s="1" t="s">
        <v>4411</v>
      </c>
      <c r="F50" s="1" t="s">
        <v>4413</v>
      </c>
      <c r="G50" s="1" t="s">
        <v>4537</v>
      </c>
      <c r="H50" s="1" t="s">
        <v>6</v>
      </c>
    </row>
    <row r="51">
      <c r="A51" s="1" t="s">
        <v>355</v>
      </c>
      <c r="B51" s="1" t="s">
        <v>4369</v>
      </c>
      <c r="C51" s="1" t="s">
        <v>4538</v>
      </c>
      <c r="D51" s="1" t="s">
        <v>4405</v>
      </c>
      <c r="E51" s="1" t="s">
        <v>4539</v>
      </c>
      <c r="F51" s="1" t="s">
        <v>4540</v>
      </c>
      <c r="G51" s="1" t="s">
        <v>4541</v>
      </c>
      <c r="H51" s="1" t="s">
        <v>3</v>
      </c>
    </row>
    <row r="52">
      <c r="A52" s="1" t="s">
        <v>355</v>
      </c>
      <c r="B52" s="1" t="s">
        <v>4369</v>
      </c>
      <c r="C52" s="1" t="s">
        <v>4542</v>
      </c>
      <c r="D52" s="1" t="s">
        <v>4543</v>
      </c>
      <c r="E52" s="1" t="s">
        <v>4544</v>
      </c>
      <c r="F52" s="1" t="s">
        <v>4545</v>
      </c>
      <c r="G52" s="1" t="s">
        <v>4371</v>
      </c>
      <c r="H52" s="1" t="s">
        <v>4</v>
      </c>
    </row>
    <row r="53">
      <c r="A53" s="1" t="s">
        <v>355</v>
      </c>
      <c r="B53" s="1" t="s">
        <v>4369</v>
      </c>
      <c r="C53" s="1" t="s">
        <v>4546</v>
      </c>
      <c r="D53" s="1" t="s">
        <v>4440</v>
      </c>
      <c r="E53" s="1" t="s">
        <v>3412</v>
      </c>
      <c r="F53" s="1" t="s">
        <v>4547</v>
      </c>
      <c r="G53" s="1" t="s">
        <v>3363</v>
      </c>
      <c r="H53" s="1" t="s">
        <v>4</v>
      </c>
    </row>
    <row r="54">
      <c r="A54" s="1" t="s">
        <v>355</v>
      </c>
      <c r="B54" s="1" t="s">
        <v>4369</v>
      </c>
      <c r="C54" s="1" t="s">
        <v>4548</v>
      </c>
      <c r="D54" s="1" t="s">
        <v>4549</v>
      </c>
      <c r="E54" s="1" t="s">
        <v>2028</v>
      </c>
      <c r="F54" s="1" t="s">
        <v>3553</v>
      </c>
      <c r="G54" s="10">
        <v>1.1694444444444445</v>
      </c>
      <c r="H54" s="1" t="s">
        <v>3</v>
      </c>
    </row>
    <row r="55">
      <c r="A55" s="1" t="s">
        <v>355</v>
      </c>
      <c r="B55" s="1" t="s">
        <v>4369</v>
      </c>
      <c r="C55" s="1" t="s">
        <v>4550</v>
      </c>
      <c r="D55" s="1" t="s">
        <v>4551</v>
      </c>
      <c r="E55" s="6">
        <v>0.1840277777777778</v>
      </c>
      <c r="F55" s="10">
        <v>1.1006944444444444</v>
      </c>
      <c r="G55" s="1" t="s">
        <v>4552</v>
      </c>
      <c r="H55" s="1" t="s">
        <v>3</v>
      </c>
    </row>
    <row r="56">
      <c r="A56" s="1" t="s">
        <v>355</v>
      </c>
      <c r="B56" s="1" t="s">
        <v>4369</v>
      </c>
      <c r="C56" s="1" t="s">
        <v>4553</v>
      </c>
      <c r="D56" s="14">
        <v>0.1257175925925926</v>
      </c>
      <c r="E56" s="14">
        <v>0.043090277777777776</v>
      </c>
      <c r="F56" s="14">
        <v>0.12640046296296295</v>
      </c>
      <c r="G56" s="14">
        <v>0.0840625</v>
      </c>
      <c r="H56" s="1" t="s">
        <v>3</v>
      </c>
    </row>
    <row r="57">
      <c r="A57" s="1" t="s">
        <v>355</v>
      </c>
      <c r="B57" s="1" t="s">
        <v>4369</v>
      </c>
      <c r="C57" s="1" t="s">
        <v>4554</v>
      </c>
      <c r="D57" s="1" t="s">
        <v>4555</v>
      </c>
      <c r="E57" s="1" t="s">
        <v>4556</v>
      </c>
      <c r="F57" s="1" t="s">
        <v>4557</v>
      </c>
      <c r="G57" s="1" t="s">
        <v>4558</v>
      </c>
      <c r="H57" s="1" t="s">
        <v>3</v>
      </c>
    </row>
    <row r="58">
      <c r="A58" s="1" t="s">
        <v>355</v>
      </c>
      <c r="B58" s="1" t="s">
        <v>4369</v>
      </c>
      <c r="C58" s="1" t="s">
        <v>4559</v>
      </c>
      <c r="D58" s="1" t="s">
        <v>4153</v>
      </c>
      <c r="E58" s="1" t="s">
        <v>4560</v>
      </c>
      <c r="F58" s="1" t="s">
        <v>4561</v>
      </c>
      <c r="G58" s="1" t="s">
        <v>4562</v>
      </c>
      <c r="H58" s="1" t="s">
        <v>5</v>
      </c>
    </row>
    <row r="59">
      <c r="A59" s="1" t="s">
        <v>355</v>
      </c>
      <c r="B59" s="1" t="s">
        <v>4369</v>
      </c>
      <c r="C59" s="1" t="s">
        <v>4563</v>
      </c>
      <c r="D59" s="1" t="s">
        <v>4564</v>
      </c>
      <c r="E59" s="1" t="s">
        <v>4565</v>
      </c>
      <c r="F59" s="1" t="s">
        <v>4566</v>
      </c>
      <c r="G59" s="1" t="s">
        <v>4567</v>
      </c>
      <c r="H59" s="1" t="s">
        <v>3</v>
      </c>
    </row>
    <row r="60">
      <c r="A60" s="1" t="s">
        <v>355</v>
      </c>
      <c r="B60" s="1" t="s">
        <v>4369</v>
      </c>
      <c r="C60" s="1" t="s">
        <v>4568</v>
      </c>
      <c r="D60" s="1" t="s">
        <v>4569</v>
      </c>
      <c r="E60" s="1" t="s">
        <v>4570</v>
      </c>
      <c r="F60" s="1" t="s">
        <v>4571</v>
      </c>
      <c r="G60" s="1" t="s">
        <v>4572</v>
      </c>
      <c r="H60" s="1" t="s">
        <v>3</v>
      </c>
    </row>
    <row r="61">
      <c r="A61" s="1" t="s">
        <v>355</v>
      </c>
      <c r="B61" s="1" t="s">
        <v>4369</v>
      </c>
      <c r="C61" s="1" t="s">
        <v>4573</v>
      </c>
      <c r="D61" s="1" t="s">
        <v>4574</v>
      </c>
      <c r="E61" s="1" t="s">
        <v>4575</v>
      </c>
      <c r="F61" s="1" t="s">
        <v>4576</v>
      </c>
      <c r="G61" s="1" t="s">
        <v>4577</v>
      </c>
      <c r="H61" s="1" t="s">
        <v>3</v>
      </c>
    </row>
    <row r="62">
      <c r="A62" s="1" t="s">
        <v>355</v>
      </c>
      <c r="B62" s="1" t="s">
        <v>4369</v>
      </c>
      <c r="C62" s="1" t="s">
        <v>4578</v>
      </c>
      <c r="D62" s="1" t="s">
        <v>4579</v>
      </c>
      <c r="E62" s="1" t="s">
        <v>4580</v>
      </c>
      <c r="F62" s="1" t="s">
        <v>4581</v>
      </c>
      <c r="G62" s="1" t="s">
        <v>4582</v>
      </c>
      <c r="H62" s="1" t="s">
        <v>5</v>
      </c>
    </row>
    <row r="63">
      <c r="A63" s="1" t="s">
        <v>355</v>
      </c>
      <c r="B63" s="1" t="s">
        <v>4369</v>
      </c>
      <c r="C63" s="1" t="s">
        <v>4583</v>
      </c>
      <c r="D63" s="1" t="s">
        <v>4183</v>
      </c>
      <c r="E63" s="1" t="s">
        <v>4584</v>
      </c>
      <c r="F63" s="1" t="s">
        <v>4585</v>
      </c>
      <c r="G63" s="1" t="s">
        <v>4586</v>
      </c>
      <c r="H63" s="1" t="s">
        <v>4</v>
      </c>
    </row>
    <row r="64">
      <c r="A64" s="1" t="s">
        <v>355</v>
      </c>
      <c r="B64" s="1" t="s">
        <v>4369</v>
      </c>
      <c r="C64" s="1" t="s">
        <v>4587</v>
      </c>
      <c r="D64" s="1">
        <v>64.0</v>
      </c>
      <c r="E64" s="1">
        <v>256.0</v>
      </c>
      <c r="F64" s="1">
        <v>512.0</v>
      </c>
      <c r="G64" s="1">
        <v>128.0</v>
      </c>
      <c r="H64" s="1" t="s">
        <v>5</v>
      </c>
    </row>
    <row r="65">
      <c r="A65" s="1" t="s">
        <v>355</v>
      </c>
      <c r="B65" s="1" t="s">
        <v>4369</v>
      </c>
      <c r="C65" s="1" t="s">
        <v>4588</v>
      </c>
      <c r="D65" s="1" t="s">
        <v>4589</v>
      </c>
      <c r="E65" s="1" t="s">
        <v>4590</v>
      </c>
      <c r="F65" s="1" t="s">
        <v>4591</v>
      </c>
      <c r="G65" s="1" t="s">
        <v>4592</v>
      </c>
      <c r="H65" s="1" t="s">
        <v>3</v>
      </c>
    </row>
    <row r="66">
      <c r="A66" s="1" t="s">
        <v>355</v>
      </c>
      <c r="B66" s="1" t="s">
        <v>4369</v>
      </c>
      <c r="C66" s="1" t="s">
        <v>4593</v>
      </c>
      <c r="D66" s="1" t="s">
        <v>3823</v>
      </c>
      <c r="E66" s="1" t="s">
        <v>4154</v>
      </c>
      <c r="F66" s="1" t="s">
        <v>4155</v>
      </c>
      <c r="G66" s="1" t="s">
        <v>4502</v>
      </c>
      <c r="H66" s="1" t="s">
        <v>5</v>
      </c>
    </row>
    <row r="67">
      <c r="A67" s="1" t="s">
        <v>355</v>
      </c>
      <c r="B67" s="1" t="s">
        <v>4369</v>
      </c>
      <c r="C67" s="1" t="s">
        <v>4594</v>
      </c>
      <c r="D67" s="1" t="s">
        <v>4595</v>
      </c>
      <c r="E67" s="1" t="s">
        <v>4596</v>
      </c>
      <c r="F67" s="1" t="s">
        <v>4597</v>
      </c>
      <c r="G67" s="1" t="s">
        <v>4598</v>
      </c>
      <c r="H67" s="1" t="s">
        <v>4</v>
      </c>
    </row>
    <row r="68">
      <c r="A68" s="1" t="s">
        <v>355</v>
      </c>
      <c r="B68" s="1" t="s">
        <v>4369</v>
      </c>
      <c r="C68" s="1" t="s">
        <v>4599</v>
      </c>
      <c r="D68" s="1" t="s">
        <v>4591</v>
      </c>
      <c r="E68" s="1" t="s">
        <v>4592</v>
      </c>
      <c r="F68" s="1" t="s">
        <v>4600</v>
      </c>
      <c r="G68" s="1" t="s">
        <v>4601</v>
      </c>
      <c r="H68" s="1" t="s">
        <v>3</v>
      </c>
    </row>
    <row r="69">
      <c r="A69" s="1" t="s">
        <v>355</v>
      </c>
      <c r="B69" s="1" t="s">
        <v>4369</v>
      </c>
      <c r="C69" s="1" t="s">
        <v>4602</v>
      </c>
      <c r="D69" s="1" t="s">
        <v>4603</v>
      </c>
      <c r="E69" s="1" t="s">
        <v>4394</v>
      </c>
      <c r="F69" s="1" t="s">
        <v>4604</v>
      </c>
      <c r="G69" s="1" t="s">
        <v>4605</v>
      </c>
      <c r="H69" s="1" t="s">
        <v>4</v>
      </c>
    </row>
    <row r="70">
      <c r="A70" s="1" t="s">
        <v>355</v>
      </c>
      <c r="B70" s="1" t="s">
        <v>4369</v>
      </c>
      <c r="C70" s="1" t="s">
        <v>4606</v>
      </c>
      <c r="D70" s="1" t="s">
        <v>3112</v>
      </c>
      <c r="E70" s="1" t="s">
        <v>2777</v>
      </c>
      <c r="F70" s="1" t="s">
        <v>3070</v>
      </c>
      <c r="G70" s="1" t="s">
        <v>4607</v>
      </c>
      <c r="H70" s="1" t="s">
        <v>3</v>
      </c>
    </row>
    <row r="71">
      <c r="A71" s="1" t="s">
        <v>355</v>
      </c>
      <c r="B71" s="1" t="s">
        <v>4369</v>
      </c>
      <c r="C71" s="1" t="s">
        <v>4608</v>
      </c>
      <c r="D71" s="1" t="s">
        <v>4487</v>
      </c>
      <c r="E71" s="1" t="s">
        <v>4419</v>
      </c>
      <c r="F71" s="1" t="s">
        <v>4488</v>
      </c>
      <c r="G71" s="1" t="s">
        <v>4371</v>
      </c>
      <c r="H71" s="1" t="s">
        <v>3</v>
      </c>
    </row>
    <row r="72">
      <c r="A72" s="1" t="s">
        <v>355</v>
      </c>
      <c r="B72" s="1" t="s">
        <v>4369</v>
      </c>
      <c r="C72" s="1" t="s">
        <v>4609</v>
      </c>
      <c r="D72" s="1" t="s">
        <v>3152</v>
      </c>
      <c r="E72" s="1" t="s">
        <v>4610</v>
      </c>
      <c r="F72" s="6">
        <v>0.06041666666666667</v>
      </c>
      <c r="G72" s="1" t="s">
        <v>4611</v>
      </c>
      <c r="H72" s="1" t="s">
        <v>4</v>
      </c>
    </row>
    <row r="73">
      <c r="A73" s="1" t="s">
        <v>355</v>
      </c>
      <c r="B73" s="1" t="s">
        <v>4369</v>
      </c>
      <c r="C73" s="1" t="s">
        <v>4612</v>
      </c>
      <c r="D73" s="1" t="s">
        <v>4613</v>
      </c>
      <c r="E73" s="1" t="s">
        <v>4614</v>
      </c>
      <c r="F73" s="1" t="s">
        <v>4615</v>
      </c>
      <c r="G73" s="1" t="s">
        <v>4616</v>
      </c>
      <c r="H73" s="1" t="s">
        <v>3</v>
      </c>
    </row>
    <row r="74">
      <c r="A74" s="1" t="s">
        <v>355</v>
      </c>
      <c r="B74" s="1" t="s">
        <v>4369</v>
      </c>
      <c r="C74" s="1" t="s">
        <v>4617</v>
      </c>
      <c r="D74" s="1" t="s">
        <v>4618</v>
      </c>
      <c r="E74" s="1" t="s">
        <v>4619</v>
      </c>
      <c r="F74" s="1" t="s">
        <v>4620</v>
      </c>
      <c r="G74" s="1" t="s">
        <v>4621</v>
      </c>
      <c r="H74" s="1" t="s">
        <v>4</v>
      </c>
    </row>
    <row r="75">
      <c r="A75" s="1" t="s">
        <v>355</v>
      </c>
      <c r="B75" s="1" t="s">
        <v>4369</v>
      </c>
      <c r="C75" s="1" t="s">
        <v>4444</v>
      </c>
      <c r="D75" s="1" t="s">
        <v>4622</v>
      </c>
      <c r="E75" s="1" t="s">
        <v>4623</v>
      </c>
      <c r="F75" s="1" t="s">
        <v>4624</v>
      </c>
      <c r="G75" s="1" t="s">
        <v>4625</v>
      </c>
      <c r="H75" s="1" t="s">
        <v>3</v>
      </c>
    </row>
    <row r="76">
      <c r="A76" s="1" t="s">
        <v>355</v>
      </c>
      <c r="B76" s="1" t="s">
        <v>4369</v>
      </c>
      <c r="C76" s="1" t="s">
        <v>4626</v>
      </c>
      <c r="D76" s="1" t="s">
        <v>4492</v>
      </c>
      <c r="E76" s="1" t="s">
        <v>4491</v>
      </c>
      <c r="F76" s="1" t="s">
        <v>4493</v>
      </c>
      <c r="G76" s="1" t="s">
        <v>4627</v>
      </c>
      <c r="H76" s="1" t="s">
        <v>3</v>
      </c>
    </row>
    <row r="77">
      <c r="A77" s="1" t="s">
        <v>355</v>
      </c>
      <c r="B77" s="1" t="s">
        <v>4369</v>
      </c>
      <c r="C77" s="1" t="s">
        <v>4628</v>
      </c>
      <c r="D77" s="1" t="s">
        <v>4629</v>
      </c>
      <c r="E77" s="1" t="s">
        <v>3823</v>
      </c>
      <c r="F77" s="1" t="s">
        <v>1971</v>
      </c>
      <c r="G77" s="1" t="s">
        <v>4154</v>
      </c>
      <c r="H77" s="1" t="s">
        <v>3</v>
      </c>
    </row>
    <row r="78">
      <c r="A78" s="1" t="s">
        <v>355</v>
      </c>
      <c r="B78" s="1" t="s">
        <v>4369</v>
      </c>
      <c r="C78" s="1" t="s">
        <v>4630</v>
      </c>
      <c r="D78" s="1" t="s">
        <v>4631</v>
      </c>
      <c r="E78" s="1" t="s">
        <v>4632</v>
      </c>
      <c r="F78" s="1" t="s">
        <v>4633</v>
      </c>
      <c r="G78" s="1" t="s">
        <v>4634</v>
      </c>
      <c r="H78" s="1" t="s">
        <v>4</v>
      </c>
    </row>
    <row r="79">
      <c r="A79" s="1" t="s">
        <v>355</v>
      </c>
      <c r="B79" s="1" t="s">
        <v>4369</v>
      </c>
      <c r="C79" s="1" t="s">
        <v>4635</v>
      </c>
      <c r="D79" s="1" t="s">
        <v>4210</v>
      </c>
      <c r="E79" s="1" t="s">
        <v>3113</v>
      </c>
      <c r="F79" s="1" t="s">
        <v>3204</v>
      </c>
      <c r="G79" s="1" t="s">
        <v>4636</v>
      </c>
      <c r="H79" s="1" t="s">
        <v>4</v>
      </c>
    </row>
    <row r="80">
      <c r="A80" s="1" t="s">
        <v>355</v>
      </c>
      <c r="B80" s="1" t="s">
        <v>4369</v>
      </c>
      <c r="C80" s="1" t="s">
        <v>4637</v>
      </c>
      <c r="D80" s="1" t="s">
        <v>4638</v>
      </c>
      <c r="E80" s="1" t="s">
        <v>4639</v>
      </c>
      <c r="F80" s="1" t="s">
        <v>4640</v>
      </c>
      <c r="G80" s="1" t="s">
        <v>4641</v>
      </c>
      <c r="H80" s="1" t="s">
        <v>3</v>
      </c>
    </row>
    <row r="81">
      <c r="A81" s="1" t="s">
        <v>355</v>
      </c>
      <c r="B81" s="1" t="s">
        <v>4369</v>
      </c>
      <c r="C81" s="1" t="s">
        <v>4642</v>
      </c>
      <c r="D81" s="1" t="s">
        <v>2093</v>
      </c>
      <c r="E81" s="1" t="s">
        <v>3152</v>
      </c>
      <c r="F81" s="1" t="s">
        <v>2095</v>
      </c>
      <c r="G81" s="1" t="s">
        <v>330</v>
      </c>
      <c r="H81" s="1" t="s">
        <v>5</v>
      </c>
    </row>
    <row r="82">
      <c r="A82" s="1" t="s">
        <v>355</v>
      </c>
      <c r="B82" s="1" t="s">
        <v>4369</v>
      </c>
      <c r="C82" s="1" t="s">
        <v>4643</v>
      </c>
      <c r="D82" s="1">
        <v>3.0</v>
      </c>
      <c r="E82" s="1">
        <v>9.0</v>
      </c>
      <c r="F82" s="1">
        <v>27.0</v>
      </c>
      <c r="G82" s="1">
        <v>12.0</v>
      </c>
      <c r="H82" s="1" t="s">
        <v>5</v>
      </c>
    </row>
    <row r="83">
      <c r="A83" s="1" t="s">
        <v>355</v>
      </c>
      <c r="B83" s="1" t="s">
        <v>4369</v>
      </c>
      <c r="C83" s="1" t="s">
        <v>4644</v>
      </c>
      <c r="D83" s="1" t="s">
        <v>4645</v>
      </c>
      <c r="E83" s="1" t="s">
        <v>4646</v>
      </c>
      <c r="F83" s="1" t="s">
        <v>4647</v>
      </c>
      <c r="G83" s="1" t="s">
        <v>4648</v>
      </c>
      <c r="H83" s="1" t="s">
        <v>3</v>
      </c>
    </row>
    <row r="84">
      <c r="A84" s="1" t="s">
        <v>355</v>
      </c>
      <c r="B84" s="1" t="s">
        <v>4369</v>
      </c>
      <c r="C84" s="1" t="s">
        <v>4649</v>
      </c>
      <c r="D84" s="1" t="s">
        <v>4650</v>
      </c>
      <c r="E84" s="1" t="s">
        <v>4651</v>
      </c>
      <c r="F84" s="1" t="s">
        <v>4652</v>
      </c>
      <c r="G84" s="1" t="s">
        <v>4653</v>
      </c>
      <c r="H84" s="1" t="s">
        <v>3</v>
      </c>
    </row>
    <row r="85">
      <c r="A85" s="1" t="s">
        <v>355</v>
      </c>
      <c r="B85" s="1" t="s">
        <v>4369</v>
      </c>
      <c r="C85" s="1" t="s">
        <v>4654</v>
      </c>
      <c r="D85" s="1" t="s">
        <v>4655</v>
      </c>
      <c r="E85" s="1" t="s">
        <v>4656</v>
      </c>
      <c r="F85" s="1" t="s">
        <v>4284</v>
      </c>
      <c r="G85" s="1" t="s">
        <v>4657</v>
      </c>
      <c r="H85" s="1" t="s">
        <v>3</v>
      </c>
    </row>
    <row r="86">
      <c r="A86" s="1" t="s">
        <v>355</v>
      </c>
      <c r="B86" s="1" t="s">
        <v>4369</v>
      </c>
      <c r="C86" s="1" t="s">
        <v>4658</v>
      </c>
      <c r="D86" s="13">
        <v>0.5</v>
      </c>
      <c r="E86" s="13">
        <v>1.0</v>
      </c>
      <c r="F86" s="13">
        <v>1.25</v>
      </c>
      <c r="G86" s="13">
        <v>0.75</v>
      </c>
      <c r="H86" s="1" t="s">
        <v>5</v>
      </c>
    </row>
    <row r="87">
      <c r="A87" s="1" t="s">
        <v>355</v>
      </c>
      <c r="B87" s="1" t="s">
        <v>4369</v>
      </c>
      <c r="C87" s="1" t="s">
        <v>4659</v>
      </c>
      <c r="D87" s="1" t="s">
        <v>4660</v>
      </c>
      <c r="E87" s="1" t="s">
        <v>4661</v>
      </c>
      <c r="F87" s="1" t="s">
        <v>4662</v>
      </c>
      <c r="G87" s="1" t="s">
        <v>4663</v>
      </c>
      <c r="H87" s="1" t="s">
        <v>3</v>
      </c>
    </row>
    <row r="88">
      <c r="A88" s="1" t="s">
        <v>355</v>
      </c>
      <c r="B88" s="1" t="s">
        <v>4369</v>
      </c>
      <c r="C88" s="1" t="s">
        <v>4664</v>
      </c>
      <c r="D88" s="1" t="s">
        <v>4665</v>
      </c>
      <c r="E88" s="1" t="s">
        <v>4666</v>
      </c>
      <c r="F88" s="1" t="s">
        <v>4667</v>
      </c>
      <c r="G88" s="1" t="s">
        <v>4668</v>
      </c>
      <c r="H88" s="1" t="s">
        <v>3</v>
      </c>
    </row>
    <row r="89">
      <c r="A89" s="1" t="s">
        <v>355</v>
      </c>
      <c r="B89" s="1" t="s">
        <v>4369</v>
      </c>
      <c r="C89" s="1" t="s">
        <v>4669</v>
      </c>
      <c r="D89" s="1" t="s">
        <v>1932</v>
      </c>
      <c r="E89" s="1" t="s">
        <v>1552</v>
      </c>
      <c r="F89" s="6">
        <v>0.7229166666666667</v>
      </c>
      <c r="G89" s="1" t="s">
        <v>2093</v>
      </c>
      <c r="H89" s="1" t="s">
        <v>4</v>
      </c>
    </row>
    <row r="90">
      <c r="A90" s="1" t="s">
        <v>355</v>
      </c>
      <c r="B90" s="1" t="s">
        <v>4369</v>
      </c>
      <c r="C90" s="1" t="s">
        <v>4670</v>
      </c>
      <c r="D90" s="1" t="s">
        <v>4671</v>
      </c>
      <c r="E90" s="1" t="s">
        <v>4672</v>
      </c>
      <c r="F90" s="1" t="s">
        <v>4673</v>
      </c>
      <c r="G90" s="1" t="s">
        <v>4674</v>
      </c>
      <c r="H90" s="1" t="s">
        <v>3</v>
      </c>
    </row>
    <row r="91">
      <c r="A91" s="1" t="s">
        <v>355</v>
      </c>
      <c r="B91" s="1" t="s">
        <v>4369</v>
      </c>
      <c r="C91" s="1" t="s">
        <v>4675</v>
      </c>
      <c r="D91" s="1" t="s">
        <v>4676</v>
      </c>
      <c r="E91" s="1" t="s">
        <v>4677</v>
      </c>
      <c r="F91" s="1" t="s">
        <v>4678</v>
      </c>
      <c r="G91" s="1" t="s">
        <v>4679</v>
      </c>
      <c r="H91" s="1" t="s">
        <v>3</v>
      </c>
    </row>
    <row r="92">
      <c r="A92" s="1" t="s">
        <v>355</v>
      </c>
      <c r="B92" s="1" t="s">
        <v>4369</v>
      </c>
      <c r="C92" s="1" t="s">
        <v>4680</v>
      </c>
      <c r="D92" s="1" t="s">
        <v>3363</v>
      </c>
      <c r="E92" s="1" t="s">
        <v>3947</v>
      </c>
      <c r="F92" s="1" t="s">
        <v>4681</v>
      </c>
      <c r="G92" s="1" t="s">
        <v>3885</v>
      </c>
      <c r="H92" s="1" t="s">
        <v>3</v>
      </c>
    </row>
    <row r="93">
      <c r="A93" s="1" t="s">
        <v>355</v>
      </c>
      <c r="B93" s="1" t="s">
        <v>4369</v>
      </c>
      <c r="C93" s="1" t="s">
        <v>4682</v>
      </c>
      <c r="D93" s="1" t="s">
        <v>4410</v>
      </c>
      <c r="E93" s="1" t="s">
        <v>4411</v>
      </c>
      <c r="F93" s="1" t="s">
        <v>4412</v>
      </c>
      <c r="G93" s="1" t="s">
        <v>4413</v>
      </c>
      <c r="H93" s="1" t="s">
        <v>5</v>
      </c>
    </row>
    <row r="94">
      <c r="A94" s="1" t="s">
        <v>355</v>
      </c>
      <c r="B94" s="1" t="s">
        <v>4369</v>
      </c>
      <c r="C94" s="1" t="s">
        <v>4683</v>
      </c>
      <c r="D94" s="1" t="s">
        <v>3362</v>
      </c>
      <c r="E94" s="1" t="s">
        <v>3947</v>
      </c>
      <c r="F94" s="1" t="s">
        <v>4036</v>
      </c>
      <c r="G94" s="1" t="s">
        <v>3925</v>
      </c>
      <c r="H94" s="1" t="s">
        <v>3</v>
      </c>
    </row>
    <row r="95">
      <c r="A95" s="1" t="s">
        <v>355</v>
      </c>
      <c r="B95" s="1" t="s">
        <v>4369</v>
      </c>
      <c r="C95" s="1" t="s">
        <v>4684</v>
      </c>
      <c r="D95" s="1">
        <v>216.0</v>
      </c>
      <c r="E95" s="1">
        <v>100.0</v>
      </c>
      <c r="F95" s="1">
        <v>36.0</v>
      </c>
      <c r="G95" s="1">
        <v>6.0</v>
      </c>
      <c r="H95" s="1" t="s">
        <v>3</v>
      </c>
    </row>
    <row r="96">
      <c r="A96" s="1" t="s">
        <v>355</v>
      </c>
      <c r="B96" s="1" t="s">
        <v>4369</v>
      </c>
      <c r="C96" s="1" t="s">
        <v>4685</v>
      </c>
      <c r="D96" s="1" t="s">
        <v>4364</v>
      </c>
      <c r="E96" s="1" t="s">
        <v>3414</v>
      </c>
      <c r="F96" s="1" t="s">
        <v>3362</v>
      </c>
      <c r="G96" s="1" t="s">
        <v>4290</v>
      </c>
      <c r="H96" s="1" t="s">
        <v>3</v>
      </c>
    </row>
    <row r="97">
      <c r="A97" s="1" t="s">
        <v>355</v>
      </c>
      <c r="B97" s="1" t="s">
        <v>4369</v>
      </c>
      <c r="C97" s="1" t="s">
        <v>4686</v>
      </c>
      <c r="D97" s="1" t="s">
        <v>4412</v>
      </c>
      <c r="E97" s="1" t="s">
        <v>4410</v>
      </c>
      <c r="F97" s="1" t="s">
        <v>4411</v>
      </c>
      <c r="G97" s="1" t="s">
        <v>4413</v>
      </c>
      <c r="H97" s="1" t="s">
        <v>3</v>
      </c>
    </row>
    <row r="98">
      <c r="A98" s="1" t="s">
        <v>355</v>
      </c>
      <c r="B98" s="1" t="s">
        <v>4369</v>
      </c>
      <c r="C98" s="1" t="s">
        <v>4687</v>
      </c>
      <c r="D98" s="1" t="s">
        <v>3629</v>
      </c>
      <c r="E98" s="1" t="s">
        <v>3632</v>
      </c>
      <c r="F98" s="1" t="s">
        <v>4108</v>
      </c>
      <c r="G98" s="1" t="s">
        <v>4165</v>
      </c>
      <c r="H98" s="1" t="s">
        <v>3</v>
      </c>
    </row>
    <row r="99">
      <c r="A99" s="1" t="s">
        <v>355</v>
      </c>
      <c r="B99" s="1" t="s">
        <v>4369</v>
      </c>
      <c r="C99" s="1" t="s">
        <v>4688</v>
      </c>
      <c r="D99" s="1" t="s">
        <v>3553</v>
      </c>
      <c r="E99" s="1" t="s">
        <v>331</v>
      </c>
      <c r="F99" s="1" t="s">
        <v>4689</v>
      </c>
      <c r="G99" s="6">
        <v>0.3861111111111111</v>
      </c>
      <c r="H99" s="1" t="s">
        <v>5</v>
      </c>
    </row>
    <row r="100">
      <c r="A100" s="1" t="s">
        <v>355</v>
      </c>
      <c r="B100" s="1" t="s">
        <v>4369</v>
      </c>
      <c r="C100" s="1" t="s">
        <v>4690</v>
      </c>
      <c r="D100" s="1" t="s">
        <v>4691</v>
      </c>
      <c r="E100" s="1" t="s">
        <v>4692</v>
      </c>
      <c r="F100" s="1" t="s">
        <v>4693</v>
      </c>
      <c r="G100" s="1" t="s">
        <v>4540</v>
      </c>
      <c r="H100" s="1" t="s">
        <v>3</v>
      </c>
    </row>
    <row r="101">
      <c r="A101" s="1" t="s">
        <v>355</v>
      </c>
      <c r="B101" s="1" t="s">
        <v>4369</v>
      </c>
      <c r="C101" s="1" t="s">
        <v>4694</v>
      </c>
      <c r="D101" s="1" t="s">
        <v>4458</v>
      </c>
      <c r="E101" s="1" t="s">
        <v>4695</v>
      </c>
      <c r="F101" s="1" t="s">
        <v>3975</v>
      </c>
      <c r="G101" s="1" t="s">
        <v>4440</v>
      </c>
      <c r="H101" s="1" t="s">
        <v>3</v>
      </c>
    </row>
    <row r="102">
      <c r="A102" s="1" t="s">
        <v>355</v>
      </c>
      <c r="B102" s="1" t="s">
        <v>4369</v>
      </c>
      <c r="C102" s="1" t="s">
        <v>4696</v>
      </c>
      <c r="D102" s="1" t="s">
        <v>4697</v>
      </c>
      <c r="E102" s="1" t="s">
        <v>4450</v>
      </c>
      <c r="F102" s="1" t="s">
        <v>4461</v>
      </c>
      <c r="G102" s="1" t="s">
        <v>4698</v>
      </c>
      <c r="H102" s="1" t="s">
        <v>3</v>
      </c>
    </row>
    <row r="103">
      <c r="A103" s="1" t="s">
        <v>355</v>
      </c>
      <c r="B103" s="1" t="s">
        <v>4369</v>
      </c>
      <c r="C103" s="1" t="s">
        <v>4699</v>
      </c>
      <c r="D103" s="1" t="s">
        <v>3975</v>
      </c>
      <c r="E103" s="1" t="s">
        <v>4440</v>
      </c>
      <c r="F103" s="1" t="s">
        <v>3363</v>
      </c>
      <c r="G103" s="1" t="s">
        <v>3412</v>
      </c>
      <c r="H103" s="1" t="s">
        <v>3</v>
      </c>
    </row>
    <row r="104">
      <c r="A104" s="1" t="s">
        <v>355</v>
      </c>
      <c r="B104" s="1" t="s">
        <v>4369</v>
      </c>
      <c r="C104" s="1" t="s">
        <v>4700</v>
      </c>
      <c r="D104" s="1" t="s">
        <v>4701</v>
      </c>
      <c r="E104" s="1" t="s">
        <v>4595</v>
      </c>
      <c r="F104" s="1" t="s">
        <v>4702</v>
      </c>
      <c r="G104" s="1" t="s">
        <v>4408</v>
      </c>
      <c r="H104" s="1" t="s">
        <v>4</v>
      </c>
    </row>
    <row r="105">
      <c r="A105" s="1" t="s">
        <v>355</v>
      </c>
      <c r="B105" s="1" t="s">
        <v>4369</v>
      </c>
      <c r="C105" s="1" t="s">
        <v>4703</v>
      </c>
      <c r="D105" s="1" t="s">
        <v>4704</v>
      </c>
      <c r="E105" s="1" t="s">
        <v>4705</v>
      </c>
      <c r="F105" s="1" t="s">
        <v>4706</v>
      </c>
      <c r="G105" s="1" t="s">
        <v>4707</v>
      </c>
      <c r="H105" s="1" t="s">
        <v>3</v>
      </c>
    </row>
    <row r="106">
      <c r="A106" s="1" t="s">
        <v>355</v>
      </c>
      <c r="B106" s="1" t="s">
        <v>4369</v>
      </c>
      <c r="C106" s="1" t="s">
        <v>4708</v>
      </c>
      <c r="D106" s="1" t="s">
        <v>4709</v>
      </c>
      <c r="E106" s="1" t="s">
        <v>4710</v>
      </c>
      <c r="F106" s="1" t="s">
        <v>4711</v>
      </c>
      <c r="G106" s="1" t="s">
        <v>4712</v>
      </c>
      <c r="H106" s="1" t="s">
        <v>3</v>
      </c>
    </row>
    <row r="107">
      <c r="A107" s="1" t="s">
        <v>355</v>
      </c>
      <c r="B107" s="1" t="s">
        <v>4369</v>
      </c>
      <c r="C107" s="1" t="s">
        <v>4713</v>
      </c>
      <c r="D107" s="1" t="s">
        <v>4536</v>
      </c>
      <c r="E107" s="1" t="s">
        <v>4411</v>
      </c>
      <c r="F107" s="1" t="s">
        <v>4413</v>
      </c>
      <c r="G107" s="1" t="s">
        <v>4714</v>
      </c>
      <c r="H107" s="1" t="s">
        <v>3</v>
      </c>
    </row>
    <row r="108">
      <c r="A108" s="1" t="s">
        <v>355</v>
      </c>
      <c r="B108" s="1" t="s">
        <v>4369</v>
      </c>
      <c r="C108" s="1" t="s">
        <v>4715</v>
      </c>
      <c r="D108" s="15">
        <v>0.331</v>
      </c>
      <c r="E108" s="13">
        <v>0.1</v>
      </c>
      <c r="F108" s="13">
        <v>0.3</v>
      </c>
      <c r="G108" s="13">
        <v>0.21</v>
      </c>
      <c r="H108" s="1" t="s">
        <v>3</v>
      </c>
    </row>
    <row r="109">
      <c r="A109" s="1" t="s">
        <v>355</v>
      </c>
      <c r="B109" s="1" t="s">
        <v>4369</v>
      </c>
      <c r="C109" s="1" t="s">
        <v>4716</v>
      </c>
      <c r="D109" s="1" t="s">
        <v>4717</v>
      </c>
      <c r="E109" s="1" t="s">
        <v>4718</v>
      </c>
      <c r="F109" s="1" t="s">
        <v>4719</v>
      </c>
      <c r="G109" s="1" t="s">
        <v>4720</v>
      </c>
      <c r="H109" s="1" t="s">
        <v>3</v>
      </c>
    </row>
    <row r="110">
      <c r="A110" s="1" t="s">
        <v>355</v>
      </c>
      <c r="B110" s="1" t="s">
        <v>4369</v>
      </c>
      <c r="C110" s="1" t="s">
        <v>4721</v>
      </c>
      <c r="D110" s="1" t="s">
        <v>3362</v>
      </c>
      <c r="E110" s="1" t="s">
        <v>3947</v>
      </c>
      <c r="F110" s="1" t="s">
        <v>4036</v>
      </c>
      <c r="G110" s="1" t="s">
        <v>3925</v>
      </c>
      <c r="H110" s="1" t="s">
        <v>3</v>
      </c>
    </row>
    <row r="111">
      <c r="A111" s="1" t="s">
        <v>355</v>
      </c>
      <c r="B111" s="1" t="s">
        <v>4369</v>
      </c>
      <c r="C111" s="1" t="s">
        <v>4722</v>
      </c>
      <c r="D111" s="1" t="s">
        <v>2190</v>
      </c>
      <c r="E111" s="1" t="s">
        <v>2191</v>
      </c>
      <c r="F111" s="1" t="s">
        <v>3558</v>
      </c>
      <c r="G111" s="1" t="s">
        <v>4723</v>
      </c>
      <c r="H111" s="1" t="s">
        <v>3</v>
      </c>
    </row>
    <row r="112">
      <c r="A112" s="1" t="s">
        <v>355</v>
      </c>
      <c r="B112" s="1" t="s">
        <v>4369</v>
      </c>
      <c r="C112" s="1" t="s">
        <v>4724</v>
      </c>
      <c r="D112" s="1" t="s">
        <v>2776</v>
      </c>
      <c r="E112" s="1" t="s">
        <v>1680</v>
      </c>
      <c r="F112" s="1" t="s">
        <v>2778</v>
      </c>
      <c r="G112" s="1" t="s">
        <v>2777</v>
      </c>
      <c r="H112" s="1" t="s">
        <v>3</v>
      </c>
    </row>
    <row r="113">
      <c r="A113" s="1" t="s">
        <v>355</v>
      </c>
      <c r="B113" s="1" t="s">
        <v>4369</v>
      </c>
      <c r="C113" s="1" t="s">
        <v>4725</v>
      </c>
      <c r="D113" s="1" t="s">
        <v>4726</v>
      </c>
      <c r="E113" s="1" t="s">
        <v>4727</v>
      </c>
      <c r="F113" s="1" t="s">
        <v>4454</v>
      </c>
      <c r="G113" s="1" t="s">
        <v>4728</v>
      </c>
      <c r="H113" s="1" t="s">
        <v>3</v>
      </c>
    </row>
    <row r="114">
      <c r="A114" s="1" t="s">
        <v>355</v>
      </c>
      <c r="B114" s="1" t="s">
        <v>4369</v>
      </c>
      <c r="C114" s="1" t="s">
        <v>4729</v>
      </c>
      <c r="D114" s="1" t="s">
        <v>4730</v>
      </c>
      <c r="E114" s="1" t="s">
        <v>4731</v>
      </c>
      <c r="F114" s="1" t="s">
        <v>4732</v>
      </c>
      <c r="G114" s="1" t="s">
        <v>4733</v>
      </c>
      <c r="H114" s="1" t="s">
        <v>3</v>
      </c>
    </row>
    <row r="115">
      <c r="A115" s="1" t="s">
        <v>355</v>
      </c>
      <c r="B115" s="1" t="s">
        <v>4369</v>
      </c>
      <c r="C115" s="1" t="s">
        <v>4734</v>
      </c>
      <c r="D115" s="1">
        <v>16.0</v>
      </c>
      <c r="E115" s="1">
        <v>8.0</v>
      </c>
      <c r="F115" s="1">
        <v>32.0</v>
      </c>
      <c r="G115" s="1">
        <v>4.0</v>
      </c>
      <c r="H115" s="1" t="s">
        <v>3</v>
      </c>
    </row>
    <row r="116">
      <c r="A116" s="1" t="s">
        <v>355</v>
      </c>
      <c r="B116" s="1" t="s">
        <v>4369</v>
      </c>
      <c r="C116" s="1" t="s">
        <v>4735</v>
      </c>
      <c r="D116" s="1">
        <v>1000.0</v>
      </c>
      <c r="E116" s="1">
        <v>100.0</v>
      </c>
      <c r="F116" s="1">
        <v>10.0</v>
      </c>
      <c r="G116" s="1">
        <v>10000.0</v>
      </c>
      <c r="H116" s="1" t="s">
        <v>3</v>
      </c>
    </row>
    <row r="117">
      <c r="A117" s="1" t="s">
        <v>355</v>
      </c>
      <c r="B117" s="1" t="s">
        <v>4369</v>
      </c>
      <c r="C117" s="1" t="s">
        <v>4736</v>
      </c>
      <c r="D117" s="1" t="s">
        <v>2093</v>
      </c>
      <c r="E117" s="1" t="s">
        <v>2096</v>
      </c>
      <c r="F117" s="1" t="s">
        <v>2094</v>
      </c>
      <c r="G117" s="1" t="s">
        <v>3152</v>
      </c>
      <c r="H117" s="1" t="s">
        <v>4</v>
      </c>
    </row>
    <row r="118">
      <c r="A118" s="1" t="s">
        <v>355</v>
      </c>
      <c r="B118" s="1" t="s">
        <v>4369</v>
      </c>
      <c r="C118" s="1" t="s">
        <v>4737</v>
      </c>
      <c r="D118" s="1" t="s">
        <v>3363</v>
      </c>
      <c r="E118" s="1" t="s">
        <v>4054</v>
      </c>
      <c r="F118" s="1" t="s">
        <v>4738</v>
      </c>
      <c r="G118" s="1" t="s">
        <v>3947</v>
      </c>
      <c r="H118" s="1" t="s">
        <v>3</v>
      </c>
    </row>
    <row r="119">
      <c r="A119" s="1" t="s">
        <v>355</v>
      </c>
      <c r="B119" s="1" t="s">
        <v>4369</v>
      </c>
      <c r="C119" s="1" t="s">
        <v>4739</v>
      </c>
      <c r="D119" s="1" t="s">
        <v>4740</v>
      </c>
      <c r="E119" s="1" t="s">
        <v>4741</v>
      </c>
      <c r="F119" s="1" t="s">
        <v>4742</v>
      </c>
      <c r="G119" s="1" t="s">
        <v>4743</v>
      </c>
      <c r="H119" s="1" t="s">
        <v>3</v>
      </c>
    </row>
    <row r="120">
      <c r="A120" s="1" t="s">
        <v>355</v>
      </c>
      <c r="B120" s="1" t="s">
        <v>4369</v>
      </c>
      <c r="C120" s="1" t="s">
        <v>4744</v>
      </c>
      <c r="D120" s="1" t="s">
        <v>4745</v>
      </c>
      <c r="E120" s="1" t="s">
        <v>4746</v>
      </c>
      <c r="F120" s="1" t="s">
        <v>4747</v>
      </c>
      <c r="G120" s="1" t="s">
        <v>4748</v>
      </c>
      <c r="H120" s="1" t="s">
        <v>3</v>
      </c>
    </row>
    <row r="121">
      <c r="A121" s="1" t="s">
        <v>355</v>
      </c>
      <c r="B121" s="1" t="s">
        <v>4369</v>
      </c>
      <c r="C121" s="1" t="s">
        <v>4749</v>
      </c>
      <c r="D121" s="1" t="s">
        <v>4450</v>
      </c>
      <c r="E121" s="1" t="s">
        <v>4475</v>
      </c>
      <c r="F121" s="1" t="s">
        <v>2190</v>
      </c>
      <c r="G121" s="1" t="s">
        <v>4750</v>
      </c>
      <c r="H121" s="1" t="s">
        <v>3</v>
      </c>
    </row>
    <row r="122">
      <c r="A122" s="1" t="s">
        <v>355</v>
      </c>
      <c r="B122" s="1" t="s">
        <v>4369</v>
      </c>
      <c r="C122" s="1" t="s">
        <v>4751</v>
      </c>
      <c r="D122" s="1" t="s">
        <v>3363</v>
      </c>
      <c r="E122" s="1" t="s">
        <v>4547</v>
      </c>
      <c r="F122" s="1" t="s">
        <v>4046</v>
      </c>
      <c r="G122" s="1" t="s">
        <v>3412</v>
      </c>
      <c r="H122" s="1" t="s">
        <v>3</v>
      </c>
    </row>
    <row r="123">
      <c r="A123" s="1" t="s">
        <v>355</v>
      </c>
      <c r="B123" s="1" t="s">
        <v>4369</v>
      </c>
      <c r="C123" s="1" t="s">
        <v>4752</v>
      </c>
      <c r="D123" s="1" t="s">
        <v>3975</v>
      </c>
      <c r="E123" s="1" t="s">
        <v>4440</v>
      </c>
      <c r="F123" s="1" t="s">
        <v>4458</v>
      </c>
      <c r="G123" s="1" t="s">
        <v>4364</v>
      </c>
      <c r="H123" s="1" t="s">
        <v>3</v>
      </c>
    </row>
    <row r="124">
      <c r="A124" s="1" t="s">
        <v>355</v>
      </c>
      <c r="B124" s="1" t="s">
        <v>4369</v>
      </c>
      <c r="C124" s="1" t="s">
        <v>4753</v>
      </c>
      <c r="D124" s="1" t="s">
        <v>4754</v>
      </c>
      <c r="E124" s="1" t="s">
        <v>4755</v>
      </c>
      <c r="F124" s="1" t="s">
        <v>4756</v>
      </c>
      <c r="G124" s="1" t="s">
        <v>4757</v>
      </c>
      <c r="H124" s="1" t="s">
        <v>3</v>
      </c>
    </row>
    <row r="125">
      <c r="A125" s="1" t="s">
        <v>355</v>
      </c>
      <c r="B125" s="1" t="s">
        <v>4369</v>
      </c>
      <c r="C125" s="1" t="s">
        <v>4758</v>
      </c>
      <c r="D125" s="1" t="s">
        <v>4759</v>
      </c>
      <c r="E125" s="1" t="s">
        <v>4760</v>
      </c>
      <c r="F125" s="1" t="s">
        <v>4761</v>
      </c>
      <c r="G125" s="1" t="s">
        <v>4762</v>
      </c>
      <c r="H125" s="1" t="s">
        <v>3</v>
      </c>
    </row>
    <row r="126">
      <c r="A126" s="1" t="s">
        <v>355</v>
      </c>
      <c r="B126" s="1" t="s">
        <v>4369</v>
      </c>
      <c r="C126" s="1" t="s">
        <v>4763</v>
      </c>
      <c r="D126" s="15">
        <v>0.4375</v>
      </c>
      <c r="E126" s="13">
        <v>0.25</v>
      </c>
      <c r="F126" s="13">
        <v>0.5</v>
      </c>
      <c r="G126" s="15">
        <v>0.125</v>
      </c>
      <c r="H126" s="1" t="s">
        <v>3</v>
      </c>
    </row>
    <row r="127">
      <c r="A127" s="1" t="s">
        <v>355</v>
      </c>
      <c r="B127" s="1" t="s">
        <v>4369</v>
      </c>
      <c r="C127" s="1" t="s">
        <v>4764</v>
      </c>
      <c r="D127" s="1" t="s">
        <v>4765</v>
      </c>
      <c r="E127" s="1" t="s">
        <v>4766</v>
      </c>
      <c r="F127" s="1" t="s">
        <v>3489</v>
      </c>
      <c r="G127" s="1" t="s">
        <v>4767</v>
      </c>
      <c r="H127" s="1" t="s">
        <v>4</v>
      </c>
    </row>
    <row r="128">
      <c r="A128" s="1" t="s">
        <v>355</v>
      </c>
      <c r="B128" s="1" t="s">
        <v>4369</v>
      </c>
      <c r="C128" s="1" t="s">
        <v>4768</v>
      </c>
      <c r="D128" s="1" t="s">
        <v>4769</v>
      </c>
      <c r="E128" s="1" t="s">
        <v>4770</v>
      </c>
      <c r="F128" s="1" t="s">
        <v>4771</v>
      </c>
      <c r="G128" s="1" t="s">
        <v>4772</v>
      </c>
      <c r="H128" s="1" t="s">
        <v>3</v>
      </c>
    </row>
    <row r="129">
      <c r="A129" s="1" t="s">
        <v>355</v>
      </c>
      <c r="B129" s="1" t="s">
        <v>4369</v>
      </c>
      <c r="C129" s="1" t="s">
        <v>4773</v>
      </c>
      <c r="D129" s="1" t="s">
        <v>4774</v>
      </c>
      <c r="E129" s="1" t="s">
        <v>4775</v>
      </c>
      <c r="F129" s="1" t="s">
        <v>4776</v>
      </c>
      <c r="G129" s="1" t="s">
        <v>4777</v>
      </c>
      <c r="H129" s="1" t="s">
        <v>3</v>
      </c>
    </row>
    <row r="130">
      <c r="A130" s="1" t="s">
        <v>355</v>
      </c>
      <c r="B130" s="1" t="s">
        <v>4369</v>
      </c>
      <c r="C130" s="1" t="s">
        <v>4778</v>
      </c>
      <c r="D130" s="1">
        <v>450.0</v>
      </c>
      <c r="E130" s="1">
        <v>300.0</v>
      </c>
      <c r="F130" s="1">
        <v>150.0</v>
      </c>
      <c r="G130" s="1">
        <v>500.0</v>
      </c>
      <c r="H130" s="1" t="s">
        <v>3</v>
      </c>
    </row>
    <row r="131">
      <c r="A131" s="1" t="s">
        <v>355</v>
      </c>
      <c r="B131" s="1" t="s">
        <v>4369</v>
      </c>
      <c r="C131" s="1" t="s">
        <v>4779</v>
      </c>
      <c r="D131" s="1" t="s">
        <v>4381</v>
      </c>
      <c r="E131" s="1" t="s">
        <v>4383</v>
      </c>
      <c r="F131" s="1" t="s">
        <v>4382</v>
      </c>
      <c r="G131" s="1" t="s">
        <v>4391</v>
      </c>
      <c r="H131" s="1" t="s">
        <v>3</v>
      </c>
    </row>
    <row r="132">
      <c r="A132" s="1" t="s">
        <v>355</v>
      </c>
      <c r="B132" s="1" t="s">
        <v>4369</v>
      </c>
      <c r="C132" s="1" t="s">
        <v>4780</v>
      </c>
      <c r="D132" s="1" t="s">
        <v>4781</v>
      </c>
      <c r="E132" s="1" t="s">
        <v>4681</v>
      </c>
      <c r="F132" s="1" t="s">
        <v>3363</v>
      </c>
      <c r="G132" s="1" t="s">
        <v>3889</v>
      </c>
      <c r="H132" s="1" t="s">
        <v>3</v>
      </c>
    </row>
    <row r="133">
      <c r="A133" s="1" t="s">
        <v>355</v>
      </c>
      <c r="B133" s="1" t="s">
        <v>4369</v>
      </c>
      <c r="C133" s="1" t="s">
        <v>4782</v>
      </c>
      <c r="D133" s="1" t="s">
        <v>4783</v>
      </c>
      <c r="E133" s="1" t="s">
        <v>4784</v>
      </c>
      <c r="F133" s="1" t="s">
        <v>4785</v>
      </c>
      <c r="G133" s="1" t="s">
        <v>4786</v>
      </c>
      <c r="H133" s="1" t="s">
        <v>3</v>
      </c>
    </row>
    <row r="134">
      <c r="A134" s="1" t="s">
        <v>355</v>
      </c>
      <c r="B134" s="1" t="s">
        <v>4369</v>
      </c>
      <c r="C134" s="1" t="s">
        <v>4787</v>
      </c>
      <c r="D134" s="1" t="s">
        <v>3363</v>
      </c>
      <c r="E134" s="1" t="s">
        <v>4788</v>
      </c>
      <c r="F134" s="1" t="s">
        <v>4036</v>
      </c>
      <c r="G134" s="1" t="s">
        <v>3414</v>
      </c>
      <c r="H134" s="1" t="s">
        <v>3</v>
      </c>
    </row>
    <row r="135">
      <c r="A135" s="1" t="s">
        <v>355</v>
      </c>
      <c r="B135" s="1" t="s">
        <v>4369</v>
      </c>
      <c r="C135" s="1" t="s">
        <v>4789</v>
      </c>
      <c r="D135" s="1" t="s">
        <v>4597</v>
      </c>
      <c r="E135" s="1" t="s">
        <v>4790</v>
      </c>
      <c r="F135" s="1" t="s">
        <v>4791</v>
      </c>
      <c r="G135" s="1" t="s">
        <v>4792</v>
      </c>
      <c r="H135" s="1" t="s">
        <v>3</v>
      </c>
    </row>
    <row r="136">
      <c r="A136" s="1" t="s">
        <v>355</v>
      </c>
      <c r="B136" s="1" t="s">
        <v>4369</v>
      </c>
      <c r="C136" s="1" t="s">
        <v>4793</v>
      </c>
      <c r="D136" s="1" t="s">
        <v>4666</v>
      </c>
      <c r="E136" s="1" t="s">
        <v>4665</v>
      </c>
      <c r="F136" s="1" t="s">
        <v>4794</v>
      </c>
      <c r="G136" s="1" t="s">
        <v>4668</v>
      </c>
      <c r="H136" s="1" t="s">
        <v>3</v>
      </c>
    </row>
    <row r="137">
      <c r="A137" s="1" t="s">
        <v>355</v>
      </c>
      <c r="B137" s="1" t="s">
        <v>4369</v>
      </c>
      <c r="C137" s="1" t="s">
        <v>4795</v>
      </c>
      <c r="D137" s="1" t="s">
        <v>4796</v>
      </c>
      <c r="E137" s="1" t="s">
        <v>4797</v>
      </c>
      <c r="F137" s="1" t="s">
        <v>4798</v>
      </c>
      <c r="G137" s="1" t="s">
        <v>4799</v>
      </c>
      <c r="H137" s="1" t="s">
        <v>3</v>
      </c>
    </row>
    <row r="138">
      <c r="A138" s="1" t="s">
        <v>355</v>
      </c>
      <c r="B138" s="1" t="s">
        <v>4369</v>
      </c>
      <c r="C138" s="1" t="s">
        <v>4800</v>
      </c>
      <c r="D138" s="1" t="s">
        <v>4801</v>
      </c>
      <c r="E138" s="1" t="s">
        <v>4517</v>
      </c>
      <c r="F138" s="1" t="s">
        <v>4802</v>
      </c>
      <c r="G138" s="1" t="s">
        <v>4803</v>
      </c>
      <c r="H138" s="1" t="s">
        <v>3</v>
      </c>
    </row>
    <row r="139">
      <c r="A139" s="1" t="s">
        <v>355</v>
      </c>
      <c r="B139" s="1" t="s">
        <v>4369</v>
      </c>
      <c r="C139" s="1" t="s">
        <v>4804</v>
      </c>
      <c r="D139" s="1" t="s">
        <v>4805</v>
      </c>
      <c r="E139" s="1" t="s">
        <v>4355</v>
      </c>
      <c r="F139" s="1" t="s">
        <v>2448</v>
      </c>
      <c r="G139" s="1" t="s">
        <v>2449</v>
      </c>
      <c r="H139" s="1" t="s">
        <v>3</v>
      </c>
    </row>
    <row r="140">
      <c r="A140" s="1" t="s">
        <v>355</v>
      </c>
      <c r="B140" s="1" t="s">
        <v>4369</v>
      </c>
      <c r="C140" s="1" t="s">
        <v>4806</v>
      </c>
      <c r="D140" s="1" t="s">
        <v>4807</v>
      </c>
      <c r="E140" s="1" t="s">
        <v>4808</v>
      </c>
      <c r="F140" s="1" t="s">
        <v>4809</v>
      </c>
      <c r="G140" s="1" t="s">
        <v>4666</v>
      </c>
      <c r="H140" s="1" t="s">
        <v>3</v>
      </c>
    </row>
    <row r="141">
      <c r="A141" s="1" t="s">
        <v>355</v>
      </c>
      <c r="B141" s="1" t="s">
        <v>4369</v>
      </c>
      <c r="C141" s="1" t="s">
        <v>4810</v>
      </c>
      <c r="D141" s="1" t="s">
        <v>4036</v>
      </c>
      <c r="E141" s="1" t="s">
        <v>3362</v>
      </c>
      <c r="F141" s="1" t="s">
        <v>3414</v>
      </c>
      <c r="G141" s="1" t="s">
        <v>4364</v>
      </c>
      <c r="H141" s="1" t="s">
        <v>3</v>
      </c>
    </row>
    <row r="142">
      <c r="A142" s="1" t="s">
        <v>355</v>
      </c>
      <c r="B142" s="1" t="s">
        <v>4369</v>
      </c>
      <c r="C142" s="1" t="s">
        <v>4811</v>
      </c>
      <c r="D142" s="1" t="s">
        <v>4532</v>
      </c>
      <c r="E142" s="1" t="s">
        <v>4531</v>
      </c>
      <c r="F142" s="1" t="s">
        <v>4534</v>
      </c>
      <c r="G142" s="1" t="s">
        <v>4533</v>
      </c>
      <c r="H142" s="1" t="s">
        <v>3</v>
      </c>
    </row>
    <row r="143">
      <c r="A143" s="1" t="s">
        <v>355</v>
      </c>
      <c r="B143" s="1" t="s">
        <v>4369</v>
      </c>
      <c r="C143" s="1" t="s">
        <v>4812</v>
      </c>
      <c r="D143" s="1" t="s">
        <v>3207</v>
      </c>
      <c r="E143" s="1" t="s">
        <v>2943</v>
      </c>
      <c r="F143" s="1" t="s">
        <v>2778</v>
      </c>
      <c r="G143" s="1" t="s">
        <v>2776</v>
      </c>
      <c r="H143" s="1" t="s">
        <v>3</v>
      </c>
    </row>
    <row r="144">
      <c r="A144" s="1" t="s">
        <v>355</v>
      </c>
      <c r="B144" s="1" t="s">
        <v>4369</v>
      </c>
      <c r="C144" s="1" t="s">
        <v>4813</v>
      </c>
      <c r="D144" s="1" t="s">
        <v>4814</v>
      </c>
      <c r="E144" s="1" t="s">
        <v>4815</v>
      </c>
      <c r="F144" s="1" t="s">
        <v>4816</v>
      </c>
      <c r="G144" s="1" t="s">
        <v>4817</v>
      </c>
      <c r="H144" s="1" t="s">
        <v>3</v>
      </c>
    </row>
    <row r="145">
      <c r="A145" s="1" t="s">
        <v>355</v>
      </c>
      <c r="B145" s="1" t="s">
        <v>4369</v>
      </c>
      <c r="C145" s="1" t="s">
        <v>4818</v>
      </c>
      <c r="D145" s="6">
        <v>0.8520833333333333</v>
      </c>
      <c r="E145" s="1" t="s">
        <v>4819</v>
      </c>
      <c r="F145" s="1" t="s">
        <v>1932</v>
      </c>
      <c r="G145" s="10">
        <v>1.1388888888888888</v>
      </c>
      <c r="H145" s="1" t="s">
        <v>3</v>
      </c>
    </row>
    <row r="146">
      <c r="A146" s="1" t="s">
        <v>355</v>
      </c>
      <c r="B146" s="1" t="s">
        <v>4369</v>
      </c>
      <c r="C146" s="1" t="s">
        <v>4820</v>
      </c>
      <c r="D146" s="1" t="s">
        <v>4821</v>
      </c>
      <c r="E146" s="1" t="s">
        <v>4822</v>
      </c>
      <c r="F146" s="1" t="s">
        <v>4823</v>
      </c>
      <c r="G146" s="1" t="s">
        <v>4824</v>
      </c>
      <c r="H146" s="1" t="s">
        <v>3</v>
      </c>
    </row>
    <row r="147">
      <c r="A147" s="1" t="s">
        <v>355</v>
      </c>
      <c r="B147" s="1" t="s">
        <v>4369</v>
      </c>
      <c r="C147" s="1" t="s">
        <v>4825</v>
      </c>
      <c r="D147" s="1" t="s">
        <v>4826</v>
      </c>
      <c r="E147" s="1" t="s">
        <v>4827</v>
      </c>
      <c r="F147" s="1" t="s">
        <v>4828</v>
      </c>
      <c r="G147" s="1" t="s">
        <v>4829</v>
      </c>
      <c r="H147" s="1" t="s">
        <v>3</v>
      </c>
    </row>
    <row r="148">
      <c r="A148" s="1" t="s">
        <v>355</v>
      </c>
      <c r="B148" s="1" t="s">
        <v>4369</v>
      </c>
      <c r="C148" s="1" t="s">
        <v>4830</v>
      </c>
      <c r="D148" s="1" t="s">
        <v>4831</v>
      </c>
      <c r="E148" s="1" t="s">
        <v>4832</v>
      </c>
      <c r="F148" s="1" t="s">
        <v>4833</v>
      </c>
      <c r="G148" s="1" t="s">
        <v>4834</v>
      </c>
      <c r="H148" s="1" t="s">
        <v>3</v>
      </c>
    </row>
    <row r="149">
      <c r="A149" s="1" t="s">
        <v>355</v>
      </c>
      <c r="B149" s="1" t="s">
        <v>4369</v>
      </c>
      <c r="C149" s="1" t="s">
        <v>4835</v>
      </c>
      <c r="D149" s="1" t="s">
        <v>4655</v>
      </c>
      <c r="E149" s="1" t="s">
        <v>4284</v>
      </c>
      <c r="F149" s="1" t="s">
        <v>4656</v>
      </c>
      <c r="G149" s="1" t="s">
        <v>4062</v>
      </c>
      <c r="H149" s="1" t="s">
        <v>3</v>
      </c>
    </row>
    <row r="150">
      <c r="A150" s="1" t="s">
        <v>355</v>
      </c>
      <c r="B150" s="1" t="s">
        <v>4369</v>
      </c>
      <c r="C150" s="1" t="s">
        <v>4836</v>
      </c>
      <c r="D150" s="1" t="s">
        <v>2942</v>
      </c>
      <c r="E150" s="1" t="s">
        <v>4495</v>
      </c>
      <c r="F150" s="1" t="s">
        <v>2944</v>
      </c>
      <c r="G150" s="1" t="s">
        <v>2943</v>
      </c>
      <c r="H150" s="1" t="s">
        <v>3</v>
      </c>
    </row>
    <row r="151">
      <c r="A151" s="1" t="s">
        <v>355</v>
      </c>
      <c r="B151" s="1" t="s">
        <v>4369</v>
      </c>
      <c r="C151" s="1" t="s">
        <v>4837</v>
      </c>
      <c r="D151" s="2">
        <v>46085.0</v>
      </c>
      <c r="E151" s="2">
        <v>46083.0</v>
      </c>
      <c r="F151" s="1">
        <v>1.0</v>
      </c>
      <c r="G151" s="1">
        <v>4.0</v>
      </c>
      <c r="H151" s="1" t="s">
        <v>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945</v>
      </c>
      <c r="C2" s="1" t="s">
        <v>4838</v>
      </c>
      <c r="D2" s="1">
        <v>4.0</v>
      </c>
      <c r="E2" s="1">
        <v>9.0</v>
      </c>
      <c r="F2" s="1">
        <v>8.0</v>
      </c>
      <c r="G2" s="1">
        <v>14.0</v>
      </c>
      <c r="H2" s="1">
        <v>9.0</v>
      </c>
    </row>
    <row r="3">
      <c r="A3" s="1" t="s">
        <v>355</v>
      </c>
      <c r="B3" s="1" t="s">
        <v>945</v>
      </c>
      <c r="C3" s="1" t="s">
        <v>4839</v>
      </c>
      <c r="D3" s="1">
        <v>2.0</v>
      </c>
      <c r="E3" s="1">
        <v>3.0</v>
      </c>
      <c r="F3" s="1">
        <v>5.0</v>
      </c>
      <c r="G3" s="1">
        <v>8.0</v>
      </c>
      <c r="H3" s="1">
        <v>5.0</v>
      </c>
    </row>
    <row r="4">
      <c r="A4" s="1" t="s">
        <v>355</v>
      </c>
      <c r="B4" s="1" t="s">
        <v>945</v>
      </c>
      <c r="C4" s="1" t="s">
        <v>4840</v>
      </c>
      <c r="D4" s="1" t="s">
        <v>4841</v>
      </c>
      <c r="E4" s="1" t="s">
        <v>4842</v>
      </c>
      <c r="F4" s="1" t="s">
        <v>4843</v>
      </c>
      <c r="G4" s="1" t="s">
        <v>1113</v>
      </c>
      <c r="H4" s="1" t="s">
        <v>4841</v>
      </c>
    </row>
    <row r="5">
      <c r="A5" s="1" t="s">
        <v>355</v>
      </c>
      <c r="B5" s="1" t="s">
        <v>945</v>
      </c>
      <c r="C5" s="1" t="s">
        <v>4844</v>
      </c>
      <c r="D5" s="1" t="s">
        <v>4845</v>
      </c>
      <c r="E5" s="1" t="s">
        <v>4846</v>
      </c>
      <c r="F5" s="1" t="s">
        <v>4847</v>
      </c>
      <c r="G5" s="1" t="s">
        <v>4848</v>
      </c>
      <c r="H5" s="1" t="s">
        <v>4845</v>
      </c>
    </row>
    <row r="6">
      <c r="A6" s="1" t="s">
        <v>355</v>
      </c>
      <c r="B6" s="1" t="s">
        <v>945</v>
      </c>
      <c r="C6" s="1" t="s">
        <v>4849</v>
      </c>
      <c r="D6" s="1">
        <v>3.0</v>
      </c>
      <c r="E6" s="1">
        <v>2.0</v>
      </c>
      <c r="F6" s="1">
        <v>2.5</v>
      </c>
      <c r="G6" s="1">
        <v>4.0</v>
      </c>
      <c r="H6" s="1">
        <v>2.0</v>
      </c>
    </row>
    <row r="7">
      <c r="A7" s="1" t="s">
        <v>355</v>
      </c>
      <c r="B7" s="1" t="s">
        <v>945</v>
      </c>
      <c r="C7" s="1" t="s">
        <v>4850</v>
      </c>
      <c r="D7" s="1" t="s">
        <v>4851</v>
      </c>
      <c r="E7" s="1" t="s">
        <v>4852</v>
      </c>
      <c r="F7" s="1" t="s">
        <v>1899</v>
      </c>
      <c r="G7" s="1" t="s">
        <v>4853</v>
      </c>
      <c r="H7" s="1" t="s">
        <v>4851</v>
      </c>
    </row>
    <row r="8">
      <c r="A8" s="1" t="s">
        <v>355</v>
      </c>
      <c r="B8" s="1" t="s">
        <v>945</v>
      </c>
      <c r="C8" s="1" t="s">
        <v>4854</v>
      </c>
      <c r="D8" s="1">
        <v>0.0</v>
      </c>
      <c r="E8" s="1">
        <v>1.0</v>
      </c>
      <c r="F8" s="1">
        <v>2.0</v>
      </c>
      <c r="G8" s="1">
        <v>3.0</v>
      </c>
      <c r="H8" s="1">
        <v>3.0</v>
      </c>
    </row>
    <row r="9">
      <c r="A9" s="1" t="s">
        <v>355</v>
      </c>
      <c r="B9" s="1" t="s">
        <v>945</v>
      </c>
      <c r="C9" s="1" t="s">
        <v>4855</v>
      </c>
      <c r="D9" s="1">
        <v>10.0</v>
      </c>
      <c r="E9" s="1">
        <v>11.0</v>
      </c>
      <c r="F9" s="1">
        <v>9.0</v>
      </c>
      <c r="G9" s="1" t="s">
        <v>22</v>
      </c>
      <c r="H9" s="1">
        <v>10.0</v>
      </c>
    </row>
    <row r="10">
      <c r="A10" s="1" t="s">
        <v>355</v>
      </c>
      <c r="B10" s="1" t="s">
        <v>945</v>
      </c>
      <c r="C10" s="1" t="s">
        <v>4856</v>
      </c>
      <c r="D10" s="1">
        <v>1.0</v>
      </c>
      <c r="E10" s="1">
        <v>2.0</v>
      </c>
      <c r="F10" s="1">
        <v>3.0</v>
      </c>
      <c r="G10" s="1">
        <v>4.0</v>
      </c>
      <c r="H10" s="1">
        <v>2.0</v>
      </c>
    </row>
    <row r="11">
      <c r="A11" s="1" t="s">
        <v>355</v>
      </c>
      <c r="B11" s="1" t="s">
        <v>945</v>
      </c>
      <c r="C11" s="1" t="s">
        <v>4857</v>
      </c>
      <c r="D11" s="1" t="s">
        <v>4858</v>
      </c>
      <c r="E11" s="1" t="s">
        <v>4859</v>
      </c>
      <c r="F11" s="1" t="s">
        <v>4860</v>
      </c>
      <c r="G11" s="1" t="s">
        <v>22</v>
      </c>
      <c r="H11" s="1" t="s">
        <v>4859</v>
      </c>
    </row>
    <row r="12">
      <c r="A12" s="1" t="s">
        <v>355</v>
      </c>
      <c r="B12" s="1" t="s">
        <v>945</v>
      </c>
      <c r="C12" s="1" t="s">
        <v>4861</v>
      </c>
      <c r="D12" s="1">
        <v>1.0</v>
      </c>
      <c r="E12" s="1">
        <v>2.0</v>
      </c>
      <c r="F12" s="1">
        <v>3.0</v>
      </c>
      <c r="G12" s="1">
        <v>4.0</v>
      </c>
      <c r="H12" s="1">
        <v>1.0</v>
      </c>
    </row>
    <row r="13">
      <c r="A13" s="1" t="s">
        <v>355</v>
      </c>
      <c r="B13" s="1" t="s">
        <v>945</v>
      </c>
      <c r="C13" s="1" t="s">
        <v>4862</v>
      </c>
      <c r="D13" s="1" t="s">
        <v>4863</v>
      </c>
      <c r="E13" s="1" t="s">
        <v>4864</v>
      </c>
      <c r="F13" s="1" t="s">
        <v>4865</v>
      </c>
      <c r="G13" s="1" t="s">
        <v>4866</v>
      </c>
      <c r="H13" s="1" t="s">
        <v>4866</v>
      </c>
    </row>
    <row r="14">
      <c r="A14" s="1" t="s">
        <v>355</v>
      </c>
      <c r="B14" s="1" t="s">
        <v>945</v>
      </c>
      <c r="C14" s="1" t="s">
        <v>4867</v>
      </c>
      <c r="D14" s="1">
        <v>22.0</v>
      </c>
      <c r="E14" s="1">
        <v>24.0</v>
      </c>
      <c r="F14" s="1">
        <v>9.0</v>
      </c>
      <c r="G14" s="1">
        <v>21.0</v>
      </c>
      <c r="H14" s="1">
        <v>21.0</v>
      </c>
    </row>
    <row r="15">
      <c r="A15" s="1" t="s">
        <v>355</v>
      </c>
      <c r="B15" s="1" t="s">
        <v>945</v>
      </c>
      <c r="C15" s="1" t="s">
        <v>4868</v>
      </c>
      <c r="D15" s="1">
        <v>130.0</v>
      </c>
      <c r="E15" s="1">
        <v>140.0</v>
      </c>
      <c r="F15" s="1">
        <v>150.0</v>
      </c>
      <c r="G15" s="1">
        <v>280.0</v>
      </c>
      <c r="H15" s="1">
        <v>140.0</v>
      </c>
    </row>
    <row r="16">
      <c r="A16" s="1" t="s">
        <v>355</v>
      </c>
      <c r="B16" s="1" t="s">
        <v>945</v>
      </c>
      <c r="C16" s="1" t="s">
        <v>4869</v>
      </c>
      <c r="D16" s="1">
        <v>5.0</v>
      </c>
      <c r="E16" s="1">
        <v>3.0</v>
      </c>
      <c r="F16" s="1">
        <v>15.0</v>
      </c>
      <c r="G16" s="1" t="s">
        <v>4870</v>
      </c>
      <c r="H16" s="1">
        <v>3.0</v>
      </c>
    </row>
    <row r="17">
      <c r="A17" s="1" t="s">
        <v>355</v>
      </c>
      <c r="B17" s="1" t="s">
        <v>945</v>
      </c>
      <c r="C17" s="1" t="s">
        <v>4871</v>
      </c>
      <c r="D17" s="1">
        <v>20.0</v>
      </c>
      <c r="E17" s="1">
        <v>6.0</v>
      </c>
      <c r="F17" s="1">
        <v>18.0</v>
      </c>
      <c r="G17" s="1">
        <v>3.0</v>
      </c>
      <c r="H17" s="1">
        <v>18.0</v>
      </c>
    </row>
    <row r="18">
      <c r="A18" s="1" t="s">
        <v>355</v>
      </c>
      <c r="B18" s="1" t="s">
        <v>945</v>
      </c>
      <c r="C18" s="1" t="s">
        <v>4872</v>
      </c>
      <c r="D18" s="1">
        <v>7.2</v>
      </c>
      <c r="E18" s="1">
        <v>8.2</v>
      </c>
      <c r="F18" s="1">
        <v>9.2</v>
      </c>
      <c r="G18" s="1">
        <v>10.2</v>
      </c>
      <c r="H18" s="1">
        <v>9.2</v>
      </c>
    </row>
    <row r="19">
      <c r="A19" s="1" t="s">
        <v>355</v>
      </c>
      <c r="B19" s="1" t="s">
        <v>945</v>
      </c>
      <c r="C19" s="1" t="s">
        <v>4873</v>
      </c>
      <c r="D19" s="1">
        <v>21.0</v>
      </c>
      <c r="E19" s="1">
        <v>22.0</v>
      </c>
      <c r="F19" s="1">
        <v>23.0</v>
      </c>
      <c r="G19" s="1">
        <v>24.0</v>
      </c>
      <c r="H19" s="1">
        <v>22.0</v>
      </c>
    </row>
    <row r="20">
      <c r="A20" s="1" t="s">
        <v>355</v>
      </c>
      <c r="B20" s="1" t="s">
        <v>945</v>
      </c>
      <c r="C20" s="1" t="s">
        <v>4874</v>
      </c>
      <c r="D20" s="1" t="s">
        <v>4875</v>
      </c>
      <c r="E20" s="1" t="s">
        <v>4845</v>
      </c>
      <c r="F20" s="1" t="s">
        <v>4876</v>
      </c>
      <c r="G20" s="1" t="s">
        <v>4846</v>
      </c>
      <c r="H20" s="1" t="s">
        <v>4846</v>
      </c>
    </row>
    <row r="21">
      <c r="A21" s="1" t="s">
        <v>355</v>
      </c>
      <c r="B21" s="1" t="s">
        <v>945</v>
      </c>
      <c r="C21" s="1" t="s">
        <v>4877</v>
      </c>
      <c r="D21" s="1" t="s">
        <v>4863</v>
      </c>
      <c r="E21" s="1" t="s">
        <v>220</v>
      </c>
      <c r="F21" s="1" t="s">
        <v>4864</v>
      </c>
      <c r="G21" s="1" t="s">
        <v>3839</v>
      </c>
      <c r="H21" s="1" t="s">
        <v>220</v>
      </c>
    </row>
    <row r="22">
      <c r="A22" s="1" t="s">
        <v>355</v>
      </c>
      <c r="B22" s="1" t="s">
        <v>945</v>
      </c>
      <c r="C22" s="1" t="s">
        <v>4878</v>
      </c>
      <c r="D22" s="1">
        <v>2.0</v>
      </c>
      <c r="E22" s="1">
        <v>3.0</v>
      </c>
      <c r="F22" s="1">
        <v>5.0</v>
      </c>
      <c r="G22" s="1">
        <v>0.0</v>
      </c>
      <c r="H22" s="1">
        <v>3.0</v>
      </c>
    </row>
    <row r="23">
      <c r="A23" s="1" t="s">
        <v>355</v>
      </c>
      <c r="B23" s="1" t="s">
        <v>945</v>
      </c>
      <c r="C23" s="1" t="s">
        <v>4879</v>
      </c>
      <c r="D23" s="1" t="s">
        <v>4880</v>
      </c>
      <c r="E23" s="1" t="s">
        <v>4881</v>
      </c>
      <c r="F23" s="1" t="s">
        <v>170</v>
      </c>
      <c r="G23" s="1" t="s">
        <v>4882</v>
      </c>
      <c r="H23" s="1" t="s">
        <v>4882</v>
      </c>
    </row>
    <row r="24">
      <c r="A24" s="1" t="s">
        <v>355</v>
      </c>
      <c r="B24" s="1" t="s">
        <v>945</v>
      </c>
      <c r="C24" s="1" t="s">
        <v>4883</v>
      </c>
      <c r="D24" s="1" t="s">
        <v>4884</v>
      </c>
      <c r="E24" s="1" t="s">
        <v>4885</v>
      </c>
      <c r="F24" s="1" t="s">
        <v>1786</v>
      </c>
      <c r="G24" s="1" t="s">
        <v>4886</v>
      </c>
      <c r="H24" s="1" t="s">
        <v>4884</v>
      </c>
    </row>
    <row r="25">
      <c r="A25" s="1" t="s">
        <v>355</v>
      </c>
      <c r="B25" s="1" t="s">
        <v>945</v>
      </c>
      <c r="C25" s="1" t="s">
        <v>4887</v>
      </c>
      <c r="D25" s="1">
        <v>2.0</v>
      </c>
      <c r="E25" s="1">
        <v>3.0</v>
      </c>
      <c r="F25" s="1">
        <v>4.0</v>
      </c>
      <c r="G25" s="1">
        <v>5.0</v>
      </c>
      <c r="H25" s="1">
        <v>4.0</v>
      </c>
    </row>
    <row r="26">
      <c r="A26" s="1" t="s">
        <v>355</v>
      </c>
      <c r="B26" s="1" t="s">
        <v>945</v>
      </c>
      <c r="C26" s="1" t="s">
        <v>4888</v>
      </c>
      <c r="D26" s="1" t="s">
        <v>4889</v>
      </c>
      <c r="E26" s="1" t="s">
        <v>219</v>
      </c>
      <c r="F26" s="1" t="s">
        <v>4890</v>
      </c>
      <c r="G26" s="1" t="s">
        <v>22</v>
      </c>
      <c r="H26" s="1" t="s">
        <v>4890</v>
      </c>
    </row>
    <row r="27">
      <c r="A27" s="1" t="s">
        <v>355</v>
      </c>
      <c r="B27" s="1" t="s">
        <v>945</v>
      </c>
      <c r="C27" s="1" t="s">
        <v>4891</v>
      </c>
      <c r="D27" s="1">
        <v>6.0</v>
      </c>
      <c r="E27" s="1">
        <v>4.0</v>
      </c>
      <c r="F27" s="1">
        <v>8.0</v>
      </c>
      <c r="G27" s="1">
        <v>7.0</v>
      </c>
      <c r="H27" s="1">
        <v>6.0</v>
      </c>
    </row>
    <row r="28">
      <c r="A28" s="1" t="s">
        <v>355</v>
      </c>
      <c r="B28" s="1" t="s">
        <v>945</v>
      </c>
      <c r="C28" s="1" t="s">
        <v>4892</v>
      </c>
      <c r="D28" s="1" t="s">
        <v>4893</v>
      </c>
      <c r="E28" s="1" t="s">
        <v>4859</v>
      </c>
      <c r="F28" s="1" t="s">
        <v>99</v>
      </c>
      <c r="G28" s="1" t="s">
        <v>22</v>
      </c>
      <c r="H28" s="1" t="s">
        <v>4894</v>
      </c>
    </row>
    <row r="29">
      <c r="A29" s="1" t="s">
        <v>355</v>
      </c>
      <c r="B29" s="1" t="s">
        <v>945</v>
      </c>
      <c r="C29" s="1" t="s">
        <v>4895</v>
      </c>
      <c r="D29" s="1" t="s">
        <v>4896</v>
      </c>
      <c r="E29" s="1" t="s">
        <v>4897</v>
      </c>
      <c r="F29" s="1" t="s">
        <v>4898</v>
      </c>
      <c r="G29" s="1" t="s">
        <v>4899</v>
      </c>
      <c r="H29" s="1" t="s">
        <v>4897</v>
      </c>
    </row>
    <row r="30">
      <c r="A30" s="1" t="s">
        <v>355</v>
      </c>
      <c r="B30" s="1" t="s">
        <v>945</v>
      </c>
      <c r="C30" s="1" t="s">
        <v>4900</v>
      </c>
      <c r="D30" s="1" t="s">
        <v>4901</v>
      </c>
      <c r="E30" s="1" t="s">
        <v>4902</v>
      </c>
      <c r="F30" s="1" t="s">
        <v>4886</v>
      </c>
      <c r="G30" s="1" t="s">
        <v>22</v>
      </c>
      <c r="H30" s="1" t="s">
        <v>4886</v>
      </c>
    </row>
    <row r="31">
      <c r="A31" s="1" t="s">
        <v>355</v>
      </c>
      <c r="B31" s="1" t="s">
        <v>945</v>
      </c>
      <c r="C31" s="1" t="s">
        <v>4903</v>
      </c>
      <c r="D31" s="1" t="s">
        <v>4901</v>
      </c>
      <c r="E31" s="1" t="s">
        <v>4886</v>
      </c>
      <c r="F31" s="1" t="s">
        <v>4902</v>
      </c>
      <c r="G31" s="1" t="s">
        <v>4904</v>
      </c>
      <c r="H31" s="1" t="s">
        <v>4886</v>
      </c>
    </row>
    <row r="32">
      <c r="A32" s="1" t="s">
        <v>355</v>
      </c>
      <c r="B32" s="1" t="s">
        <v>945</v>
      </c>
      <c r="C32" s="1" t="s">
        <v>4905</v>
      </c>
      <c r="D32" s="1" t="s">
        <v>4863</v>
      </c>
      <c r="E32" s="1" t="s">
        <v>220</v>
      </c>
      <c r="F32" s="1" t="s">
        <v>4864</v>
      </c>
      <c r="G32" s="1" t="s">
        <v>22</v>
      </c>
      <c r="H32" s="1" t="s">
        <v>4864</v>
      </c>
    </row>
    <row r="33">
      <c r="A33" s="1" t="s">
        <v>355</v>
      </c>
      <c r="B33" s="1" t="s">
        <v>945</v>
      </c>
      <c r="C33" s="1" t="s">
        <v>4906</v>
      </c>
      <c r="D33" s="1">
        <v>1.0</v>
      </c>
      <c r="E33" s="1">
        <v>2.0</v>
      </c>
      <c r="F33" s="1">
        <v>3.0</v>
      </c>
      <c r="G33" s="1">
        <v>4.0</v>
      </c>
      <c r="H33" s="1">
        <v>3.0</v>
      </c>
    </row>
    <row r="34">
      <c r="A34" s="1" t="s">
        <v>355</v>
      </c>
      <c r="B34" s="1" t="s">
        <v>945</v>
      </c>
      <c r="C34" s="12" t="s">
        <v>4907</v>
      </c>
      <c r="D34" s="1" t="s">
        <v>4863</v>
      </c>
      <c r="E34" s="1" t="s">
        <v>4865</v>
      </c>
      <c r="F34" s="1" t="s">
        <v>4864</v>
      </c>
      <c r="G34" s="1" t="s">
        <v>22</v>
      </c>
      <c r="H34" s="1" t="s">
        <v>4865</v>
      </c>
    </row>
    <row r="35">
      <c r="A35" s="1" t="s">
        <v>355</v>
      </c>
      <c r="B35" s="1" t="s">
        <v>945</v>
      </c>
      <c r="C35" s="1" t="s">
        <v>4908</v>
      </c>
      <c r="D35" s="1" t="s">
        <v>4863</v>
      </c>
      <c r="E35" s="1" t="s">
        <v>220</v>
      </c>
      <c r="F35" s="1" t="s">
        <v>4864</v>
      </c>
      <c r="G35" s="1" t="s">
        <v>4909</v>
      </c>
      <c r="H35" s="1" t="s">
        <v>4863</v>
      </c>
    </row>
    <row r="36">
      <c r="A36" s="1" t="s">
        <v>355</v>
      </c>
      <c r="B36" s="1" t="s">
        <v>945</v>
      </c>
      <c r="C36" s="1" t="s">
        <v>4910</v>
      </c>
      <c r="D36" s="1">
        <v>110.0</v>
      </c>
      <c r="E36" s="1">
        <v>100.0</v>
      </c>
      <c r="F36" s="1">
        <v>11.0</v>
      </c>
      <c r="G36" s="1">
        <v>10.0</v>
      </c>
      <c r="H36" s="1">
        <v>11.0</v>
      </c>
    </row>
    <row r="37">
      <c r="A37" s="1" t="s">
        <v>355</v>
      </c>
      <c r="B37" s="1" t="s">
        <v>945</v>
      </c>
      <c r="C37" s="1" t="s">
        <v>4911</v>
      </c>
      <c r="D37" s="1">
        <v>13.0</v>
      </c>
      <c r="E37" s="1">
        <v>19.0</v>
      </c>
      <c r="F37" s="1">
        <v>16.0</v>
      </c>
      <c r="G37" s="1">
        <v>32.0</v>
      </c>
      <c r="H37" s="1">
        <v>16.0</v>
      </c>
    </row>
    <row r="38">
      <c r="A38" s="1" t="s">
        <v>355</v>
      </c>
      <c r="B38" s="1" t="s">
        <v>945</v>
      </c>
      <c r="C38" s="1" t="s">
        <v>4912</v>
      </c>
      <c r="D38" s="1">
        <v>2.0</v>
      </c>
      <c r="E38" s="1">
        <v>3.0</v>
      </c>
      <c r="F38" s="1">
        <v>6.0</v>
      </c>
      <c r="G38" s="1">
        <v>1.0</v>
      </c>
      <c r="H38" s="1">
        <v>2.0</v>
      </c>
    </row>
    <row r="39">
      <c r="A39" s="1" t="s">
        <v>355</v>
      </c>
      <c r="B39" s="1" t="s">
        <v>945</v>
      </c>
      <c r="C39" s="1" t="s">
        <v>4913</v>
      </c>
      <c r="D39" s="1">
        <v>5.0</v>
      </c>
      <c r="E39" s="1">
        <v>9.0</v>
      </c>
      <c r="F39" s="1">
        <v>15.0</v>
      </c>
      <c r="G39" s="1">
        <v>21.0</v>
      </c>
      <c r="H39" s="1">
        <v>9.0</v>
      </c>
    </row>
    <row r="40">
      <c r="A40" s="1" t="s">
        <v>355</v>
      </c>
      <c r="B40" s="1" t="s">
        <v>945</v>
      </c>
      <c r="C40" s="1" t="s">
        <v>4914</v>
      </c>
      <c r="D40" s="1">
        <v>2.0</v>
      </c>
      <c r="E40" s="1">
        <v>3.0</v>
      </c>
      <c r="F40" s="1">
        <v>7.0</v>
      </c>
      <c r="G40" s="1">
        <v>9.0</v>
      </c>
      <c r="H40" s="1">
        <v>7.0</v>
      </c>
    </row>
    <row r="41">
      <c r="A41" s="1" t="s">
        <v>355</v>
      </c>
      <c r="B41" s="1" t="s">
        <v>945</v>
      </c>
      <c r="C41" s="1" t="s">
        <v>4915</v>
      </c>
      <c r="D41" s="1">
        <v>12.0</v>
      </c>
      <c r="E41" s="1">
        <v>62.0</v>
      </c>
      <c r="F41" s="1">
        <v>81.0</v>
      </c>
      <c r="G41" s="1">
        <v>69.0</v>
      </c>
      <c r="H41" s="1">
        <v>69.0</v>
      </c>
    </row>
    <row r="42">
      <c r="A42" s="1" t="s">
        <v>355</v>
      </c>
      <c r="B42" s="1" t="s">
        <v>945</v>
      </c>
      <c r="C42" s="1" t="s">
        <v>4916</v>
      </c>
      <c r="D42" s="1">
        <v>1.0</v>
      </c>
      <c r="E42" s="1">
        <v>2.0</v>
      </c>
      <c r="F42" s="1">
        <v>3.0</v>
      </c>
      <c r="G42" s="1">
        <v>5.0</v>
      </c>
      <c r="H42" s="1">
        <v>2.0</v>
      </c>
    </row>
    <row r="43">
      <c r="A43" s="1" t="s">
        <v>355</v>
      </c>
      <c r="B43" s="1" t="s">
        <v>945</v>
      </c>
      <c r="C43" s="1" t="s">
        <v>4917</v>
      </c>
      <c r="D43" s="1" t="s">
        <v>4918</v>
      </c>
      <c r="E43" s="1" t="s">
        <v>4919</v>
      </c>
      <c r="F43" s="1" t="s">
        <v>4920</v>
      </c>
      <c r="G43" s="1" t="s">
        <v>4921</v>
      </c>
      <c r="H43" s="1" t="s">
        <v>4918</v>
      </c>
    </row>
    <row r="44">
      <c r="A44" s="1" t="s">
        <v>355</v>
      </c>
      <c r="B44" s="1" t="s">
        <v>945</v>
      </c>
      <c r="C44" s="1" t="s">
        <v>4922</v>
      </c>
      <c r="D44" s="1" t="s">
        <v>4884</v>
      </c>
      <c r="E44" s="1" t="s">
        <v>4885</v>
      </c>
      <c r="F44" s="1" t="s">
        <v>1786</v>
      </c>
      <c r="G44" s="1" t="s">
        <v>4886</v>
      </c>
      <c r="H44" s="1" t="s">
        <v>4885</v>
      </c>
    </row>
    <row r="45">
      <c r="A45" s="1" t="s">
        <v>355</v>
      </c>
      <c r="B45" s="1" t="s">
        <v>945</v>
      </c>
      <c r="C45" s="1" t="s">
        <v>4923</v>
      </c>
      <c r="D45" s="1">
        <v>30.0</v>
      </c>
      <c r="E45" s="1">
        <v>35.0</v>
      </c>
      <c r="F45" s="1">
        <v>32.5</v>
      </c>
      <c r="G45" s="1">
        <v>65.0</v>
      </c>
      <c r="H45" s="1">
        <v>32.5</v>
      </c>
    </row>
    <row r="46">
      <c r="A46" s="1" t="s">
        <v>355</v>
      </c>
      <c r="B46" s="1" t="s">
        <v>945</v>
      </c>
      <c r="C46" s="1" t="s">
        <v>4924</v>
      </c>
      <c r="D46" s="1">
        <v>2.0</v>
      </c>
      <c r="E46" s="1">
        <v>3.0</v>
      </c>
      <c r="F46" s="1">
        <v>4.0</v>
      </c>
      <c r="G46" s="1">
        <v>5.0</v>
      </c>
      <c r="H46" s="1">
        <v>3.0</v>
      </c>
    </row>
    <row r="47">
      <c r="A47" s="1" t="s">
        <v>355</v>
      </c>
      <c r="B47" s="1" t="s">
        <v>945</v>
      </c>
      <c r="C47" s="1" t="s">
        <v>4925</v>
      </c>
      <c r="D47" s="1">
        <v>30.1</v>
      </c>
      <c r="E47" s="1">
        <v>30.2</v>
      </c>
      <c r="F47" s="1">
        <v>29.1</v>
      </c>
      <c r="G47" s="1">
        <v>28.5</v>
      </c>
      <c r="H47" s="1">
        <v>30.1</v>
      </c>
    </row>
    <row r="48">
      <c r="A48" s="1" t="s">
        <v>355</v>
      </c>
      <c r="B48" s="1" t="s">
        <v>945</v>
      </c>
      <c r="C48" s="1" t="s">
        <v>4926</v>
      </c>
      <c r="D48" s="1" t="s">
        <v>4927</v>
      </c>
      <c r="E48" s="1" t="s">
        <v>4928</v>
      </c>
      <c r="F48" s="1" t="s">
        <v>4929</v>
      </c>
      <c r="G48" s="1" t="s">
        <v>4930</v>
      </c>
      <c r="H48" s="1" t="s">
        <v>4928</v>
      </c>
    </row>
    <row r="49">
      <c r="A49" s="1" t="s">
        <v>355</v>
      </c>
      <c r="B49" s="1" t="s">
        <v>945</v>
      </c>
      <c r="C49" s="1" t="s">
        <v>4931</v>
      </c>
      <c r="D49" s="1">
        <v>9.0</v>
      </c>
      <c r="E49" s="1">
        <v>10.0</v>
      </c>
      <c r="F49" s="1">
        <v>11.0</v>
      </c>
      <c r="G49" s="1">
        <v>3.0</v>
      </c>
      <c r="H49" s="1">
        <v>11.0</v>
      </c>
    </row>
    <row r="50">
      <c r="A50" s="1" t="s">
        <v>355</v>
      </c>
      <c r="B50" s="1" t="s">
        <v>945</v>
      </c>
      <c r="C50" s="1" t="s">
        <v>4932</v>
      </c>
      <c r="D50" s="1">
        <v>4.0</v>
      </c>
      <c r="E50" s="1">
        <v>9.0</v>
      </c>
      <c r="F50" s="1">
        <v>8.0</v>
      </c>
      <c r="G50" s="1">
        <v>14.0</v>
      </c>
      <c r="H50" s="1">
        <v>9.0</v>
      </c>
    </row>
    <row r="51">
      <c r="A51" s="1" t="s">
        <v>355</v>
      </c>
      <c r="B51" s="1" t="s">
        <v>945</v>
      </c>
      <c r="C51" s="1" t="s">
        <v>4933</v>
      </c>
      <c r="D51" s="1">
        <v>3.0</v>
      </c>
      <c r="E51" s="1">
        <v>4.0</v>
      </c>
      <c r="F51" s="1">
        <v>7.0</v>
      </c>
      <c r="G51" s="1">
        <v>11.0</v>
      </c>
      <c r="H51" s="1">
        <v>4.0</v>
      </c>
    </row>
    <row r="52">
      <c r="A52" s="1" t="s">
        <v>355</v>
      </c>
      <c r="B52" s="1" t="s">
        <v>945</v>
      </c>
      <c r="C52" s="1" t="s">
        <v>4934</v>
      </c>
      <c r="D52" s="1" t="s">
        <v>4935</v>
      </c>
      <c r="E52" s="1" t="s">
        <v>4936</v>
      </c>
      <c r="F52" s="1" t="s">
        <v>4937</v>
      </c>
      <c r="G52" s="1" t="s">
        <v>4938</v>
      </c>
      <c r="H52" s="1" t="s">
        <v>4936</v>
      </c>
    </row>
    <row r="53">
      <c r="A53" s="1" t="s">
        <v>355</v>
      </c>
      <c r="B53" s="1" t="s">
        <v>945</v>
      </c>
      <c r="C53" s="1" t="s">
        <v>4939</v>
      </c>
      <c r="D53" s="1" t="s">
        <v>4940</v>
      </c>
      <c r="E53" s="1" t="s">
        <v>4938</v>
      </c>
      <c r="F53" s="1" t="s">
        <v>4941</v>
      </c>
      <c r="G53" s="1" t="s">
        <v>4942</v>
      </c>
      <c r="H53" s="1" t="s">
        <v>4940</v>
      </c>
    </row>
    <row r="54">
      <c r="A54" s="1" t="s">
        <v>355</v>
      </c>
      <c r="B54" s="1" t="s">
        <v>945</v>
      </c>
      <c r="C54" s="1" t="s">
        <v>4943</v>
      </c>
      <c r="D54" s="1">
        <v>15.0</v>
      </c>
      <c r="E54" s="1">
        <v>17.5</v>
      </c>
      <c r="F54" s="1">
        <v>35.0</v>
      </c>
      <c r="G54" s="1">
        <v>12.5</v>
      </c>
      <c r="H54" s="1">
        <v>17.5</v>
      </c>
    </row>
    <row r="55">
      <c r="A55" s="1" t="s">
        <v>355</v>
      </c>
      <c r="B55" s="1" t="s">
        <v>945</v>
      </c>
      <c r="C55" s="1" t="s">
        <v>4944</v>
      </c>
      <c r="D55" s="1" t="s">
        <v>4945</v>
      </c>
      <c r="E55" s="1" t="s">
        <v>4946</v>
      </c>
      <c r="F55" s="1" t="s">
        <v>4947</v>
      </c>
      <c r="G55" s="1" t="s">
        <v>4948</v>
      </c>
      <c r="H55" s="1" t="s">
        <v>4945</v>
      </c>
    </row>
    <row r="56">
      <c r="A56" s="1" t="s">
        <v>355</v>
      </c>
      <c r="B56" s="1" t="s">
        <v>945</v>
      </c>
      <c r="C56" s="1" t="s">
        <v>4949</v>
      </c>
      <c r="D56" s="1" t="s">
        <v>4950</v>
      </c>
      <c r="E56" s="1" t="s">
        <v>4951</v>
      </c>
      <c r="F56" s="1" t="s">
        <v>4952</v>
      </c>
      <c r="G56" s="1" t="s">
        <v>4953</v>
      </c>
      <c r="H56" s="1" t="s">
        <v>4951</v>
      </c>
    </row>
    <row r="57">
      <c r="A57" s="1" t="s">
        <v>355</v>
      </c>
      <c r="B57" s="1" t="s">
        <v>945</v>
      </c>
      <c r="C57" s="1" t="s">
        <v>4954</v>
      </c>
      <c r="D57" s="1" t="s">
        <v>4955</v>
      </c>
      <c r="E57" s="1" t="s">
        <v>4956</v>
      </c>
      <c r="F57" s="1" t="s">
        <v>1509</v>
      </c>
      <c r="G57" s="1" t="s">
        <v>22</v>
      </c>
      <c r="H57" s="1" t="s">
        <v>4956</v>
      </c>
    </row>
    <row r="58">
      <c r="A58" s="1" t="s">
        <v>355</v>
      </c>
      <c r="B58" s="1" t="s">
        <v>945</v>
      </c>
      <c r="C58" s="1" t="s">
        <v>4957</v>
      </c>
      <c r="D58" s="1" t="s">
        <v>4958</v>
      </c>
      <c r="E58" s="1" t="s">
        <v>4959</v>
      </c>
      <c r="F58" s="1" t="s">
        <v>4960</v>
      </c>
      <c r="G58" s="1" t="s">
        <v>4961</v>
      </c>
      <c r="H58" s="1" t="s">
        <v>4959</v>
      </c>
    </row>
    <row r="59">
      <c r="A59" s="1" t="s">
        <v>355</v>
      </c>
      <c r="B59" s="1" t="s">
        <v>945</v>
      </c>
      <c r="C59" s="1" t="s">
        <v>4962</v>
      </c>
      <c r="D59" s="1">
        <v>3.0</v>
      </c>
      <c r="E59" s="1">
        <v>5.0</v>
      </c>
      <c r="F59" s="1">
        <v>7.0</v>
      </c>
      <c r="G59" s="1">
        <v>9.0</v>
      </c>
      <c r="H59" s="1">
        <v>5.0</v>
      </c>
    </row>
    <row r="60">
      <c r="A60" s="1" t="s">
        <v>355</v>
      </c>
      <c r="B60" s="1" t="s">
        <v>945</v>
      </c>
      <c r="C60" s="1" t="s">
        <v>4963</v>
      </c>
      <c r="D60" s="1" t="s">
        <v>4865</v>
      </c>
      <c r="E60" s="1" t="s">
        <v>4864</v>
      </c>
      <c r="F60" s="1" t="s">
        <v>4863</v>
      </c>
      <c r="G60" s="1" t="s">
        <v>22</v>
      </c>
      <c r="H60" s="1" t="s">
        <v>4863</v>
      </c>
    </row>
    <row r="61">
      <c r="A61" s="1" t="s">
        <v>355</v>
      </c>
      <c r="B61" s="1" t="s">
        <v>945</v>
      </c>
      <c r="C61" s="1" t="s">
        <v>4964</v>
      </c>
      <c r="D61" s="1" t="s">
        <v>4863</v>
      </c>
      <c r="E61" s="1" t="s">
        <v>4909</v>
      </c>
      <c r="F61" s="1" t="s">
        <v>4864</v>
      </c>
      <c r="G61" s="1" t="s">
        <v>4965</v>
      </c>
      <c r="H61" s="1" t="s">
        <v>4909</v>
      </c>
    </row>
    <row r="62">
      <c r="A62" s="1" t="s">
        <v>355</v>
      </c>
      <c r="B62" s="1" t="s">
        <v>945</v>
      </c>
      <c r="C62" s="1" t="s">
        <v>4966</v>
      </c>
      <c r="D62" s="1">
        <v>1.0</v>
      </c>
      <c r="E62" s="1">
        <v>2.0</v>
      </c>
      <c r="F62" s="1">
        <v>3.0</v>
      </c>
      <c r="G62" s="1">
        <v>4.0</v>
      </c>
      <c r="H62" s="1">
        <v>3.0</v>
      </c>
    </row>
    <row r="63">
      <c r="A63" s="1" t="s">
        <v>355</v>
      </c>
      <c r="B63" s="1" t="s">
        <v>945</v>
      </c>
      <c r="C63" s="12" t="s">
        <v>4967</v>
      </c>
      <c r="D63" s="1" t="s">
        <v>4968</v>
      </c>
      <c r="E63" s="1" t="s">
        <v>4969</v>
      </c>
      <c r="F63" s="1" t="s">
        <v>4965</v>
      </c>
      <c r="G63" s="1" t="s">
        <v>4930</v>
      </c>
      <c r="H63" s="1" t="s">
        <v>4969</v>
      </c>
    </row>
    <row r="64">
      <c r="A64" s="1" t="s">
        <v>355</v>
      </c>
      <c r="B64" s="1" t="s">
        <v>945</v>
      </c>
      <c r="C64" s="12" t="s">
        <v>4970</v>
      </c>
      <c r="D64" s="1" t="s">
        <v>4968</v>
      </c>
      <c r="E64" s="1" t="s">
        <v>4969</v>
      </c>
      <c r="F64" s="1" t="s">
        <v>4965</v>
      </c>
      <c r="G64" s="1" t="s">
        <v>4930</v>
      </c>
      <c r="H64" s="1" t="s">
        <v>4968</v>
      </c>
    </row>
    <row r="65">
      <c r="A65" s="1" t="s">
        <v>355</v>
      </c>
      <c r="B65" s="1" t="s">
        <v>945</v>
      </c>
      <c r="C65" s="1" t="s">
        <v>4971</v>
      </c>
      <c r="D65" s="1" t="s">
        <v>4972</v>
      </c>
      <c r="E65" s="1" t="s">
        <v>4973</v>
      </c>
      <c r="F65" s="1" t="s">
        <v>4974</v>
      </c>
      <c r="G65" s="1" t="s">
        <v>4941</v>
      </c>
      <c r="H65" s="1" t="s">
        <v>4972</v>
      </c>
    </row>
    <row r="66">
      <c r="A66" s="1" t="s">
        <v>355</v>
      </c>
      <c r="B66" s="1" t="s">
        <v>945</v>
      </c>
      <c r="C66" s="1" t="s">
        <v>4975</v>
      </c>
      <c r="D66" s="1">
        <v>15.0</v>
      </c>
      <c r="E66" s="1">
        <v>25.0</v>
      </c>
      <c r="F66" s="1">
        <v>35.0</v>
      </c>
      <c r="G66" s="1">
        <v>20.0</v>
      </c>
      <c r="H66" s="1">
        <v>25.0</v>
      </c>
    </row>
    <row r="67">
      <c r="A67" s="1" t="s">
        <v>355</v>
      </c>
      <c r="B67" s="1" t="s">
        <v>945</v>
      </c>
      <c r="C67" s="1" t="s">
        <v>4976</v>
      </c>
      <c r="D67" s="1">
        <v>3.0</v>
      </c>
      <c r="E67" s="1">
        <v>4.0</v>
      </c>
      <c r="F67" s="1" t="s">
        <v>4977</v>
      </c>
      <c r="G67" s="1">
        <v>5.0</v>
      </c>
      <c r="H67" s="1" t="s">
        <v>4977</v>
      </c>
    </row>
    <row r="68">
      <c r="A68" s="1" t="s">
        <v>355</v>
      </c>
      <c r="B68" s="1" t="s">
        <v>945</v>
      </c>
      <c r="C68" s="1" t="s">
        <v>4978</v>
      </c>
      <c r="D68" s="1">
        <v>12.0</v>
      </c>
      <c r="E68" s="1">
        <v>13.0</v>
      </c>
      <c r="F68" s="1">
        <v>14.0</v>
      </c>
      <c r="G68" s="1">
        <v>15.0</v>
      </c>
      <c r="H68" s="1">
        <v>14.0</v>
      </c>
    </row>
    <row r="69">
      <c r="A69" s="1" t="s">
        <v>355</v>
      </c>
      <c r="B69" s="1" t="s">
        <v>945</v>
      </c>
      <c r="C69" s="1" t="s">
        <v>4979</v>
      </c>
      <c r="D69" s="1">
        <v>4.0</v>
      </c>
      <c r="E69" s="1">
        <v>5.0</v>
      </c>
      <c r="F69" s="1">
        <v>6.0</v>
      </c>
      <c r="G69" s="1">
        <v>8.0</v>
      </c>
      <c r="H69" s="1">
        <v>5.0</v>
      </c>
    </row>
    <row r="70">
      <c r="A70" s="1" t="s">
        <v>355</v>
      </c>
      <c r="B70" s="1" t="s">
        <v>945</v>
      </c>
      <c r="C70" s="1" t="s">
        <v>4980</v>
      </c>
      <c r="D70" s="1" t="s">
        <v>4893</v>
      </c>
      <c r="E70" s="1" t="s">
        <v>4859</v>
      </c>
      <c r="F70" s="1" t="s">
        <v>99</v>
      </c>
      <c r="G70" s="1" t="s">
        <v>837</v>
      </c>
      <c r="H70" s="1" t="s">
        <v>4859</v>
      </c>
    </row>
    <row r="71">
      <c r="A71" s="1" t="s">
        <v>355</v>
      </c>
      <c r="B71" s="1" t="s">
        <v>945</v>
      </c>
      <c r="C71" s="1" t="s">
        <v>4981</v>
      </c>
      <c r="D71" s="1">
        <v>24.0</v>
      </c>
      <c r="E71" s="1">
        <v>22.0</v>
      </c>
      <c r="F71" s="1">
        <v>20.0</v>
      </c>
      <c r="G71" s="1">
        <v>25.0</v>
      </c>
      <c r="H71" s="1">
        <v>24.0</v>
      </c>
    </row>
    <row r="72">
      <c r="A72" s="1" t="s">
        <v>355</v>
      </c>
      <c r="B72" s="1" t="s">
        <v>945</v>
      </c>
      <c r="C72" s="1" t="s">
        <v>4982</v>
      </c>
      <c r="D72" s="1" t="s">
        <v>4865</v>
      </c>
      <c r="E72" s="1" t="s">
        <v>4864</v>
      </c>
      <c r="F72" s="1" t="s">
        <v>4863</v>
      </c>
      <c r="G72" s="1" t="s">
        <v>22</v>
      </c>
      <c r="H72" s="1" t="s">
        <v>4863</v>
      </c>
    </row>
    <row r="73">
      <c r="A73" s="1" t="s">
        <v>355</v>
      </c>
      <c r="B73" s="1" t="s">
        <v>945</v>
      </c>
      <c r="C73" s="1" t="s">
        <v>4983</v>
      </c>
      <c r="D73" s="1">
        <v>20.0</v>
      </c>
      <c r="E73" s="1">
        <v>30.0</v>
      </c>
      <c r="F73" s="1">
        <v>25.0</v>
      </c>
      <c r="G73" s="1">
        <v>50.0</v>
      </c>
      <c r="H73" s="1">
        <v>30.0</v>
      </c>
    </row>
    <row r="74">
      <c r="A74" s="1" t="s">
        <v>355</v>
      </c>
      <c r="B74" s="1" t="s">
        <v>945</v>
      </c>
      <c r="C74" s="1" t="s">
        <v>4984</v>
      </c>
      <c r="D74" s="5"/>
      <c r="E74" s="5"/>
      <c r="F74" s="5"/>
      <c r="G74" s="1" t="s">
        <v>4985</v>
      </c>
      <c r="H74" s="1">
        <v>3.0</v>
      </c>
    </row>
    <row r="75">
      <c r="A75" s="1" t="s">
        <v>355</v>
      </c>
      <c r="B75" s="1" t="s">
        <v>945</v>
      </c>
      <c r="C75" s="1" t="s">
        <v>4986</v>
      </c>
      <c r="D75" s="1" t="s">
        <v>4968</v>
      </c>
      <c r="E75" s="1" t="s">
        <v>4987</v>
      </c>
      <c r="F75" s="1" t="s">
        <v>4965</v>
      </c>
      <c r="G75" s="1" t="s">
        <v>4930</v>
      </c>
      <c r="H75" s="1" t="s">
        <v>4965</v>
      </c>
    </row>
    <row r="76">
      <c r="A76" s="1" t="s">
        <v>355</v>
      </c>
      <c r="B76" s="1" t="s">
        <v>945</v>
      </c>
      <c r="C76" s="1" t="s">
        <v>4988</v>
      </c>
      <c r="D76" s="1" t="s">
        <v>4863</v>
      </c>
      <c r="E76" s="1" t="s">
        <v>220</v>
      </c>
      <c r="F76" s="1" t="s">
        <v>4864</v>
      </c>
      <c r="G76" s="1" t="s">
        <v>4989</v>
      </c>
      <c r="H76" s="1" t="s">
        <v>220</v>
      </c>
    </row>
    <row r="77">
      <c r="A77" s="1" t="s">
        <v>355</v>
      </c>
      <c r="B77" s="1" t="s">
        <v>945</v>
      </c>
      <c r="C77" s="1" t="s">
        <v>4990</v>
      </c>
      <c r="D77" s="1" t="s">
        <v>4863</v>
      </c>
      <c r="E77" s="1" t="s">
        <v>4865</v>
      </c>
      <c r="F77" s="1" t="s">
        <v>4864</v>
      </c>
      <c r="G77" s="1" t="s">
        <v>4991</v>
      </c>
      <c r="H77" s="1" t="s">
        <v>4865</v>
      </c>
    </row>
    <row r="78">
      <c r="A78" s="1" t="s">
        <v>355</v>
      </c>
      <c r="B78" s="1" t="s">
        <v>945</v>
      </c>
      <c r="C78" s="1" t="s">
        <v>4992</v>
      </c>
      <c r="D78" s="1" t="s">
        <v>4993</v>
      </c>
      <c r="E78" s="1" t="s">
        <v>4930</v>
      </c>
      <c r="F78" s="1" t="s">
        <v>4994</v>
      </c>
      <c r="G78" s="1" t="s">
        <v>4965</v>
      </c>
      <c r="H78" s="1" t="s">
        <v>4993</v>
      </c>
    </row>
    <row r="79">
      <c r="A79" s="1" t="s">
        <v>355</v>
      </c>
      <c r="B79" s="1" t="s">
        <v>945</v>
      </c>
      <c r="C79" s="1" t="s">
        <v>4995</v>
      </c>
      <c r="D79" s="1" t="s">
        <v>4994</v>
      </c>
      <c r="E79" s="1" t="s">
        <v>4965</v>
      </c>
      <c r="F79" s="1" t="s">
        <v>4996</v>
      </c>
      <c r="G79" s="1" t="s">
        <v>22</v>
      </c>
      <c r="H79" s="1" t="s">
        <v>4994</v>
      </c>
    </row>
    <row r="80">
      <c r="A80" s="1" t="s">
        <v>355</v>
      </c>
      <c r="B80" s="1" t="s">
        <v>945</v>
      </c>
      <c r="C80" s="1" t="s">
        <v>4997</v>
      </c>
      <c r="D80" s="1" t="s">
        <v>4998</v>
      </c>
      <c r="E80" s="1" t="s">
        <v>4999</v>
      </c>
      <c r="F80" s="1" t="s">
        <v>5000</v>
      </c>
      <c r="G80" s="1" t="s">
        <v>886</v>
      </c>
      <c r="H80" s="1" t="s">
        <v>5000</v>
      </c>
    </row>
    <row r="81">
      <c r="A81" s="1" t="s">
        <v>355</v>
      </c>
      <c r="B81" s="1" t="s">
        <v>945</v>
      </c>
      <c r="C81" s="12" t="s">
        <v>5001</v>
      </c>
      <c r="D81" s="1" t="s">
        <v>4969</v>
      </c>
      <c r="E81" s="1" t="s">
        <v>5002</v>
      </c>
      <c r="F81" s="1" t="s">
        <v>2535</v>
      </c>
      <c r="G81" s="1" t="s">
        <v>22</v>
      </c>
      <c r="H81" s="1" t="s">
        <v>5002</v>
      </c>
    </row>
    <row r="82">
      <c r="A82" s="1" t="s">
        <v>355</v>
      </c>
      <c r="B82" s="1" t="s">
        <v>945</v>
      </c>
      <c r="C82" s="1" t="s">
        <v>5003</v>
      </c>
      <c r="D82" s="1">
        <v>5.0</v>
      </c>
      <c r="E82" s="1">
        <v>10.0</v>
      </c>
      <c r="F82" s="1">
        <v>20.0</v>
      </c>
      <c r="G82" s="1">
        <v>0.0</v>
      </c>
      <c r="H82" s="1">
        <v>10.0</v>
      </c>
    </row>
    <row r="83">
      <c r="A83" s="1" t="s">
        <v>355</v>
      </c>
      <c r="B83" s="1" t="s">
        <v>945</v>
      </c>
      <c r="C83" s="1" t="s">
        <v>5004</v>
      </c>
      <c r="D83" s="1" t="s">
        <v>5005</v>
      </c>
      <c r="E83" s="1" t="s">
        <v>5006</v>
      </c>
      <c r="F83" s="1" t="s">
        <v>2139</v>
      </c>
      <c r="G83" s="1" t="s">
        <v>881</v>
      </c>
      <c r="H83" s="1" t="s">
        <v>5006</v>
      </c>
    </row>
    <row r="84">
      <c r="A84" s="1" t="s">
        <v>355</v>
      </c>
      <c r="B84" s="1" t="s">
        <v>945</v>
      </c>
      <c r="C84" s="1" t="s">
        <v>5007</v>
      </c>
      <c r="D84" s="1" t="s">
        <v>1937</v>
      </c>
      <c r="E84" s="1" t="s">
        <v>1938</v>
      </c>
      <c r="F84" s="1" t="s">
        <v>1930</v>
      </c>
      <c r="G84" s="1" t="s">
        <v>5008</v>
      </c>
      <c r="H84" s="1" t="s">
        <v>1930</v>
      </c>
    </row>
    <row r="85">
      <c r="A85" s="1" t="s">
        <v>355</v>
      </c>
      <c r="B85" s="1" t="s">
        <v>945</v>
      </c>
      <c r="C85" s="1" t="s">
        <v>5009</v>
      </c>
      <c r="D85" s="1">
        <v>20.0</v>
      </c>
      <c r="E85" s="1">
        <v>25.0</v>
      </c>
      <c r="F85" s="1">
        <v>15.0</v>
      </c>
      <c r="G85" s="1">
        <v>100.0</v>
      </c>
      <c r="H85" s="1">
        <v>25.0</v>
      </c>
    </row>
    <row r="86">
      <c r="A86" s="1" t="s">
        <v>355</v>
      </c>
      <c r="B86" s="1" t="s">
        <v>945</v>
      </c>
      <c r="C86" s="1" t="s">
        <v>5010</v>
      </c>
      <c r="D86" s="1">
        <v>20.0</v>
      </c>
      <c r="E86" s="1">
        <v>22.0</v>
      </c>
      <c r="F86" s="1">
        <v>40.0</v>
      </c>
      <c r="G86" s="1">
        <v>10.0</v>
      </c>
      <c r="H86" s="1">
        <v>40.0</v>
      </c>
    </row>
    <row r="87">
      <c r="A87" s="1" t="s">
        <v>355</v>
      </c>
      <c r="B87" s="1" t="s">
        <v>945</v>
      </c>
      <c r="C87" s="1" t="s">
        <v>5011</v>
      </c>
      <c r="D87" s="1" t="s">
        <v>5012</v>
      </c>
      <c r="E87" s="1" t="s">
        <v>5013</v>
      </c>
      <c r="F87" s="1" t="s">
        <v>5014</v>
      </c>
      <c r="G87" s="1" t="s">
        <v>5015</v>
      </c>
      <c r="H87" s="1" t="s">
        <v>5012</v>
      </c>
    </row>
    <row r="88">
      <c r="A88" s="1" t="s">
        <v>355</v>
      </c>
      <c r="B88" s="1" t="s">
        <v>945</v>
      </c>
      <c r="C88" s="1" t="s">
        <v>5016</v>
      </c>
      <c r="D88" s="1">
        <v>5.0</v>
      </c>
      <c r="E88" s="1">
        <v>10.0</v>
      </c>
      <c r="F88" s="1">
        <v>15.0</v>
      </c>
      <c r="G88" s="1">
        <v>20.0</v>
      </c>
      <c r="H88" s="1">
        <v>10.0</v>
      </c>
    </row>
    <row r="89">
      <c r="A89" s="1" t="s">
        <v>355</v>
      </c>
      <c r="B89" s="1" t="s">
        <v>945</v>
      </c>
      <c r="C89" s="1" t="s">
        <v>5017</v>
      </c>
      <c r="D89" s="1">
        <v>3.0</v>
      </c>
      <c r="E89" s="1">
        <v>4.0</v>
      </c>
      <c r="F89" s="1">
        <v>5.0</v>
      </c>
      <c r="G89" s="1">
        <v>6.0</v>
      </c>
      <c r="H89" s="1">
        <v>4.0</v>
      </c>
    </row>
    <row r="90">
      <c r="A90" s="1" t="s">
        <v>355</v>
      </c>
      <c r="B90" s="1" t="s">
        <v>945</v>
      </c>
      <c r="C90" s="1" t="s">
        <v>5018</v>
      </c>
      <c r="D90" s="1">
        <v>2.0</v>
      </c>
      <c r="E90" s="1">
        <v>15.0</v>
      </c>
      <c r="F90" s="1">
        <v>50.0</v>
      </c>
      <c r="G90" s="1">
        <v>10.0</v>
      </c>
      <c r="H90" s="1">
        <v>50.0</v>
      </c>
    </row>
    <row r="91">
      <c r="A91" s="1" t="s">
        <v>355</v>
      </c>
      <c r="B91" s="1" t="s">
        <v>945</v>
      </c>
      <c r="C91" s="1" t="s">
        <v>5019</v>
      </c>
      <c r="D91" s="1">
        <v>3.0</v>
      </c>
      <c r="E91" s="1">
        <v>4.0</v>
      </c>
      <c r="F91" s="1">
        <v>3.5</v>
      </c>
      <c r="G91" s="1">
        <v>5.0</v>
      </c>
      <c r="H91" s="1">
        <v>3.5</v>
      </c>
    </row>
    <row r="92">
      <c r="A92" s="1" t="s">
        <v>355</v>
      </c>
      <c r="B92" s="1" t="s">
        <v>945</v>
      </c>
      <c r="C92" s="1" t="s">
        <v>5020</v>
      </c>
      <c r="D92" s="1" t="s">
        <v>4998</v>
      </c>
      <c r="E92" s="1" t="s">
        <v>4999</v>
      </c>
      <c r="F92" s="1" t="s">
        <v>5000</v>
      </c>
      <c r="G92" s="1" t="s">
        <v>22</v>
      </c>
      <c r="H92" s="1" t="s">
        <v>4999</v>
      </c>
    </row>
    <row r="93">
      <c r="A93" s="1" t="s">
        <v>355</v>
      </c>
      <c r="B93" s="1" t="s">
        <v>945</v>
      </c>
      <c r="C93" s="1" t="s">
        <v>5021</v>
      </c>
      <c r="D93" s="1" t="s">
        <v>5022</v>
      </c>
      <c r="E93" s="1" t="s">
        <v>4845</v>
      </c>
      <c r="F93" s="1" t="s">
        <v>5023</v>
      </c>
      <c r="G93" s="1" t="s">
        <v>5024</v>
      </c>
      <c r="H93" s="1" t="s">
        <v>4845</v>
      </c>
    </row>
    <row r="94">
      <c r="A94" s="1" t="s">
        <v>355</v>
      </c>
      <c r="B94" s="1" t="s">
        <v>945</v>
      </c>
      <c r="C94" s="1" t="s">
        <v>5025</v>
      </c>
      <c r="D94" s="1">
        <v>10.0</v>
      </c>
      <c r="E94" s="1">
        <v>20.0</v>
      </c>
      <c r="F94" s="1">
        <v>15.0</v>
      </c>
      <c r="G94" s="1">
        <v>30.0</v>
      </c>
      <c r="H94" s="1">
        <v>15.0</v>
      </c>
    </row>
    <row r="95">
      <c r="A95" s="1" t="s">
        <v>355</v>
      </c>
      <c r="B95" s="1" t="s">
        <v>945</v>
      </c>
      <c r="C95" s="1" t="s">
        <v>5026</v>
      </c>
      <c r="D95" s="1">
        <v>10.0</v>
      </c>
      <c r="E95" s="1">
        <v>20.0</v>
      </c>
      <c r="F95" s="1">
        <v>30.0</v>
      </c>
      <c r="G95" s="1">
        <v>0.0</v>
      </c>
      <c r="H95" s="1">
        <v>10.0</v>
      </c>
    </row>
    <row r="96">
      <c r="A96" s="1" t="s">
        <v>355</v>
      </c>
      <c r="B96" s="1" t="s">
        <v>945</v>
      </c>
      <c r="C96" s="1" t="s">
        <v>5027</v>
      </c>
      <c r="D96" s="1">
        <v>25.0</v>
      </c>
      <c r="E96" s="1">
        <v>30.0</v>
      </c>
      <c r="F96" s="1">
        <v>35.0</v>
      </c>
      <c r="G96" s="1">
        <v>60.0</v>
      </c>
      <c r="H96" s="1">
        <v>30.0</v>
      </c>
    </row>
    <row r="97">
      <c r="A97" s="1" t="s">
        <v>355</v>
      </c>
      <c r="B97" s="1" t="s">
        <v>945</v>
      </c>
      <c r="C97" s="1" t="s">
        <v>5028</v>
      </c>
      <c r="D97" s="1" t="s">
        <v>5029</v>
      </c>
      <c r="E97" s="1" t="s">
        <v>1889</v>
      </c>
      <c r="F97" s="1" t="s">
        <v>316</v>
      </c>
      <c r="G97" s="1" t="s">
        <v>314</v>
      </c>
      <c r="H97" s="1" t="s">
        <v>5029</v>
      </c>
    </row>
    <row r="98">
      <c r="A98" s="1" t="s">
        <v>355</v>
      </c>
      <c r="B98" s="1" t="s">
        <v>945</v>
      </c>
      <c r="C98" s="1" t="s">
        <v>5030</v>
      </c>
      <c r="D98" s="1" t="s">
        <v>5031</v>
      </c>
      <c r="E98" s="1" t="s">
        <v>5032</v>
      </c>
      <c r="F98" s="1" t="s">
        <v>5033</v>
      </c>
      <c r="G98" s="1" t="s">
        <v>2938</v>
      </c>
      <c r="H98" s="1" t="s">
        <v>5033</v>
      </c>
    </row>
    <row r="99">
      <c r="A99" s="1" t="s">
        <v>355</v>
      </c>
      <c r="B99" s="1" t="s">
        <v>945</v>
      </c>
      <c r="C99" s="1" t="s">
        <v>5034</v>
      </c>
      <c r="D99" s="1" t="s">
        <v>5035</v>
      </c>
      <c r="E99" s="1" t="s">
        <v>5036</v>
      </c>
      <c r="F99" s="1" t="s">
        <v>5037</v>
      </c>
      <c r="G99" s="1" t="s">
        <v>5038</v>
      </c>
      <c r="H99" s="1" t="s">
        <v>5035</v>
      </c>
    </row>
    <row r="100">
      <c r="A100" s="1" t="s">
        <v>355</v>
      </c>
      <c r="B100" s="1" t="s">
        <v>945</v>
      </c>
      <c r="C100" s="1" t="s">
        <v>5039</v>
      </c>
      <c r="D100" s="1">
        <v>2.0</v>
      </c>
      <c r="E100" s="1">
        <v>3.0</v>
      </c>
      <c r="F100" s="1">
        <v>5.0</v>
      </c>
      <c r="G100" s="1">
        <v>6.0</v>
      </c>
      <c r="H100" s="1">
        <v>5.0</v>
      </c>
    </row>
    <row r="101">
      <c r="A101" s="1" t="s">
        <v>355</v>
      </c>
      <c r="B101" s="1" t="s">
        <v>945</v>
      </c>
      <c r="C101" s="1" t="s">
        <v>5040</v>
      </c>
      <c r="D101" s="1" t="s">
        <v>71</v>
      </c>
      <c r="E101" s="1" t="s">
        <v>72</v>
      </c>
      <c r="F101" s="1" t="s">
        <v>73</v>
      </c>
      <c r="G101" s="1" t="s">
        <v>22</v>
      </c>
      <c r="H101" s="1" t="s">
        <v>71</v>
      </c>
    </row>
    <row r="102">
      <c r="A102" s="1" t="s">
        <v>355</v>
      </c>
      <c r="B102" s="1" t="s">
        <v>945</v>
      </c>
      <c r="C102" s="1" t="s">
        <v>5041</v>
      </c>
      <c r="D102" s="1">
        <v>15.0</v>
      </c>
      <c r="E102" s="1">
        <v>14.0</v>
      </c>
      <c r="F102" s="1">
        <v>16.0</v>
      </c>
      <c r="G102" s="1">
        <v>13.5</v>
      </c>
      <c r="H102" s="1">
        <v>15.0</v>
      </c>
    </row>
    <row r="103">
      <c r="A103" s="1" t="s">
        <v>355</v>
      </c>
      <c r="B103" s="1" t="s">
        <v>945</v>
      </c>
      <c r="C103" s="1" t="s">
        <v>5042</v>
      </c>
      <c r="D103" s="1">
        <v>3.0</v>
      </c>
      <c r="E103" s="1">
        <v>4.0</v>
      </c>
      <c r="F103" s="1">
        <v>5.0</v>
      </c>
      <c r="G103" s="1">
        <v>2.0</v>
      </c>
      <c r="H103" s="1">
        <v>4.0</v>
      </c>
    </row>
    <row r="104">
      <c r="A104" s="1" t="s">
        <v>355</v>
      </c>
      <c r="B104" s="1" t="s">
        <v>945</v>
      </c>
      <c r="C104" s="1" t="s">
        <v>5043</v>
      </c>
      <c r="D104" s="1" t="s">
        <v>5044</v>
      </c>
      <c r="E104" s="1" t="s">
        <v>5045</v>
      </c>
      <c r="F104" s="1" t="s">
        <v>5046</v>
      </c>
      <c r="G104" s="1" t="s">
        <v>4994</v>
      </c>
      <c r="H104" s="1" t="s">
        <v>5044</v>
      </c>
    </row>
    <row r="105">
      <c r="A105" s="1" t="s">
        <v>355</v>
      </c>
      <c r="B105" s="1" t="s">
        <v>945</v>
      </c>
      <c r="C105" s="1" t="s">
        <v>5047</v>
      </c>
      <c r="D105" s="1">
        <v>0.0</v>
      </c>
      <c r="E105" s="1">
        <v>1.0</v>
      </c>
      <c r="F105" s="1" t="s">
        <v>5048</v>
      </c>
      <c r="G105" s="1" t="s">
        <v>1975</v>
      </c>
      <c r="H105" s="1" t="s">
        <v>5048</v>
      </c>
    </row>
    <row r="106">
      <c r="A106" s="1" t="s">
        <v>355</v>
      </c>
      <c r="B106" s="1" t="s">
        <v>945</v>
      </c>
      <c r="C106" s="1" t="s">
        <v>5049</v>
      </c>
      <c r="D106" s="1">
        <v>11.0</v>
      </c>
      <c r="E106" s="1">
        <v>12.0</v>
      </c>
      <c r="F106" s="1">
        <v>13.0</v>
      </c>
      <c r="G106" s="1">
        <v>14.0</v>
      </c>
      <c r="H106" s="1">
        <v>13.0</v>
      </c>
    </row>
    <row r="107">
      <c r="A107" s="1" t="s">
        <v>355</v>
      </c>
      <c r="B107" s="1" t="s">
        <v>945</v>
      </c>
      <c r="C107" s="1" t="s">
        <v>5050</v>
      </c>
      <c r="D107" s="1">
        <v>2.0</v>
      </c>
      <c r="E107" s="1">
        <v>2.5</v>
      </c>
      <c r="F107" s="1">
        <v>3.0</v>
      </c>
      <c r="G107" s="1">
        <v>3.5</v>
      </c>
      <c r="H107" s="1">
        <v>2.0</v>
      </c>
    </row>
    <row r="108">
      <c r="A108" s="1" t="s">
        <v>355</v>
      </c>
      <c r="B108" s="1" t="s">
        <v>945</v>
      </c>
      <c r="C108" s="1" t="s">
        <v>5051</v>
      </c>
      <c r="D108" s="1">
        <v>40.0</v>
      </c>
      <c r="E108" s="1">
        <v>50.0</v>
      </c>
      <c r="F108" s="1">
        <v>60.0</v>
      </c>
      <c r="G108" s="1">
        <v>100.0</v>
      </c>
      <c r="H108" s="1">
        <v>40.0</v>
      </c>
    </row>
    <row r="109">
      <c r="A109" s="1" t="s">
        <v>355</v>
      </c>
      <c r="B109" s="1" t="s">
        <v>945</v>
      </c>
      <c r="C109" s="1" t="s">
        <v>5052</v>
      </c>
      <c r="D109" s="1">
        <v>40.0</v>
      </c>
      <c r="E109" s="1">
        <v>50.0</v>
      </c>
      <c r="F109" s="1">
        <v>60.0</v>
      </c>
      <c r="G109" s="1">
        <v>100.0</v>
      </c>
      <c r="H109" s="1">
        <v>60.0</v>
      </c>
    </row>
    <row r="110">
      <c r="A110" s="1" t="s">
        <v>355</v>
      </c>
      <c r="B110" s="1" t="s">
        <v>945</v>
      </c>
      <c r="C110" s="1" t="s">
        <v>5053</v>
      </c>
      <c r="D110" s="1" t="s">
        <v>3143</v>
      </c>
      <c r="E110" s="1">
        <v>2.0</v>
      </c>
      <c r="F110" s="1" t="s">
        <v>3084</v>
      </c>
      <c r="G110" s="1">
        <v>1.414</v>
      </c>
      <c r="H110" s="1" t="s">
        <v>3143</v>
      </c>
    </row>
    <row r="111">
      <c r="A111" s="1" t="s">
        <v>355</v>
      </c>
      <c r="B111" s="1" t="s">
        <v>945</v>
      </c>
      <c r="C111" s="1" t="s">
        <v>5054</v>
      </c>
      <c r="D111" s="1">
        <v>4.0</v>
      </c>
      <c r="E111" s="1">
        <v>5.0</v>
      </c>
      <c r="F111" s="1">
        <v>6.0</v>
      </c>
      <c r="G111" s="1">
        <v>8.0</v>
      </c>
      <c r="H111" s="1">
        <v>6.0</v>
      </c>
    </row>
    <row r="112">
      <c r="A112" s="1" t="s">
        <v>355</v>
      </c>
      <c r="B112" s="1" t="s">
        <v>945</v>
      </c>
      <c r="C112" s="1" t="s">
        <v>5055</v>
      </c>
      <c r="D112" s="1">
        <v>5.0</v>
      </c>
      <c r="E112" s="1">
        <v>0.0</v>
      </c>
      <c r="F112" s="1">
        <v>1.0</v>
      </c>
      <c r="G112" s="1">
        <v>25.0</v>
      </c>
      <c r="H112" s="1">
        <v>0.0</v>
      </c>
    </row>
    <row r="113">
      <c r="A113" s="1" t="s">
        <v>355</v>
      </c>
      <c r="B113" s="1" t="s">
        <v>945</v>
      </c>
      <c r="C113" s="1" t="s">
        <v>5056</v>
      </c>
      <c r="D113" s="1" t="s">
        <v>4893</v>
      </c>
      <c r="E113" s="1" t="s">
        <v>4859</v>
      </c>
      <c r="F113" s="1" t="s">
        <v>99</v>
      </c>
      <c r="G113" s="1" t="s">
        <v>22</v>
      </c>
      <c r="H113" s="1" t="s">
        <v>4859</v>
      </c>
    </row>
    <row r="114">
      <c r="A114" s="1" t="s">
        <v>355</v>
      </c>
      <c r="B114" s="1" t="s">
        <v>945</v>
      </c>
      <c r="C114" s="1" t="s">
        <v>5057</v>
      </c>
      <c r="D114" s="1" t="s">
        <v>4893</v>
      </c>
      <c r="E114" s="1" t="s">
        <v>4859</v>
      </c>
      <c r="F114" s="1" t="s">
        <v>99</v>
      </c>
      <c r="G114" s="1" t="s">
        <v>22</v>
      </c>
      <c r="H114" s="1" t="s">
        <v>4893</v>
      </c>
    </row>
    <row r="115">
      <c r="A115" s="1" t="s">
        <v>355</v>
      </c>
      <c r="B115" s="1" t="s">
        <v>945</v>
      </c>
      <c r="C115" s="1" t="s">
        <v>5058</v>
      </c>
      <c r="D115" s="1">
        <v>0.1</v>
      </c>
      <c r="E115" s="1">
        <v>0.5</v>
      </c>
      <c r="F115" s="1">
        <v>1.0</v>
      </c>
      <c r="G115" s="1">
        <v>0.0</v>
      </c>
      <c r="H115" s="1">
        <v>0.5</v>
      </c>
    </row>
    <row r="116">
      <c r="A116" s="1" t="s">
        <v>355</v>
      </c>
      <c r="B116" s="1" t="s">
        <v>945</v>
      </c>
      <c r="C116" s="1" t="s">
        <v>5059</v>
      </c>
      <c r="D116" s="1">
        <v>3.0</v>
      </c>
      <c r="E116" s="1">
        <v>5.0</v>
      </c>
      <c r="F116" s="1">
        <v>8.0</v>
      </c>
      <c r="G116" s="1">
        <v>4.0</v>
      </c>
      <c r="H116" s="1">
        <v>5.0</v>
      </c>
    </row>
    <row r="117">
      <c r="A117" s="1" t="s">
        <v>355</v>
      </c>
      <c r="B117" s="1" t="s">
        <v>945</v>
      </c>
      <c r="C117" s="1" t="s">
        <v>5060</v>
      </c>
      <c r="D117" s="1">
        <v>4.0</v>
      </c>
      <c r="E117" s="1">
        <v>7.0</v>
      </c>
      <c r="F117" s="1">
        <v>10.0</v>
      </c>
      <c r="G117" s="1">
        <v>13.0</v>
      </c>
      <c r="H117" s="1">
        <v>7.0</v>
      </c>
    </row>
    <row r="118">
      <c r="A118" s="1" t="s">
        <v>355</v>
      </c>
      <c r="B118" s="1" t="s">
        <v>945</v>
      </c>
      <c r="C118" s="1" t="s">
        <v>5061</v>
      </c>
      <c r="D118" s="1">
        <v>7.0</v>
      </c>
      <c r="E118" s="1">
        <v>10.0</v>
      </c>
      <c r="F118" s="1">
        <v>13.0</v>
      </c>
      <c r="G118" s="1">
        <v>16.0</v>
      </c>
      <c r="H118" s="1">
        <v>13.0</v>
      </c>
    </row>
    <row r="119">
      <c r="A119" s="1" t="s">
        <v>355</v>
      </c>
      <c r="B119" s="1" t="s">
        <v>945</v>
      </c>
      <c r="C119" s="1" t="s">
        <v>5062</v>
      </c>
      <c r="D119" s="1" t="s">
        <v>4865</v>
      </c>
      <c r="E119" s="1" t="s">
        <v>4864</v>
      </c>
      <c r="F119" s="1" t="s">
        <v>4863</v>
      </c>
      <c r="G119" s="1" t="s">
        <v>1320</v>
      </c>
      <c r="H119" s="1" t="s">
        <v>4863</v>
      </c>
    </row>
    <row r="120">
      <c r="A120" s="1" t="s">
        <v>355</v>
      </c>
      <c r="B120" s="1" t="s">
        <v>945</v>
      </c>
      <c r="C120" s="1" t="s">
        <v>5063</v>
      </c>
      <c r="D120" s="1" t="s">
        <v>4863</v>
      </c>
      <c r="E120" s="1" t="s">
        <v>220</v>
      </c>
      <c r="F120" s="1" t="s">
        <v>4864</v>
      </c>
      <c r="G120" s="1" t="s">
        <v>4866</v>
      </c>
      <c r="H120" s="1" t="s">
        <v>220</v>
      </c>
    </row>
    <row r="121">
      <c r="A121" s="1" t="s">
        <v>355</v>
      </c>
      <c r="B121" s="1" t="s">
        <v>945</v>
      </c>
      <c r="C121" s="1" t="s">
        <v>5064</v>
      </c>
      <c r="D121" s="1" t="s">
        <v>5065</v>
      </c>
      <c r="E121" s="1" t="s">
        <v>4941</v>
      </c>
      <c r="F121" s="1" t="s">
        <v>5066</v>
      </c>
      <c r="G121" s="1" t="s">
        <v>4940</v>
      </c>
      <c r="H121" s="1" t="s">
        <v>5066</v>
      </c>
    </row>
    <row r="122">
      <c r="A122" s="1" t="s">
        <v>355</v>
      </c>
      <c r="B122" s="1" t="s">
        <v>945</v>
      </c>
      <c r="C122" s="1" t="s">
        <v>5067</v>
      </c>
      <c r="D122" s="1" t="s">
        <v>5068</v>
      </c>
      <c r="E122" s="1" t="s">
        <v>5069</v>
      </c>
      <c r="F122" s="1" t="s">
        <v>5070</v>
      </c>
      <c r="G122" s="1" t="s">
        <v>22</v>
      </c>
      <c r="H122" s="1" t="s">
        <v>5069</v>
      </c>
    </row>
    <row r="123">
      <c r="A123" s="1" t="s">
        <v>355</v>
      </c>
      <c r="B123" s="1" t="s">
        <v>945</v>
      </c>
      <c r="C123" s="1" t="s">
        <v>5071</v>
      </c>
      <c r="D123" s="1" t="s">
        <v>5068</v>
      </c>
      <c r="E123" s="1" t="s">
        <v>5069</v>
      </c>
      <c r="F123" s="1" t="s">
        <v>5072</v>
      </c>
      <c r="G123" s="1" t="s">
        <v>22</v>
      </c>
      <c r="H123" s="1" t="s">
        <v>5072</v>
      </c>
    </row>
    <row r="124">
      <c r="A124" s="1" t="s">
        <v>355</v>
      </c>
      <c r="B124" s="1" t="s">
        <v>945</v>
      </c>
      <c r="C124" s="1" t="s">
        <v>5073</v>
      </c>
      <c r="D124" s="1" t="s">
        <v>5074</v>
      </c>
      <c r="E124" s="1" t="s">
        <v>5075</v>
      </c>
      <c r="F124" s="1" t="s">
        <v>5076</v>
      </c>
      <c r="G124" s="1" t="s">
        <v>5077</v>
      </c>
      <c r="H124" s="1" t="s">
        <v>5074</v>
      </c>
    </row>
    <row r="125">
      <c r="A125" s="1" t="s">
        <v>355</v>
      </c>
      <c r="B125" s="1" t="s">
        <v>945</v>
      </c>
      <c r="C125" s="1" t="s">
        <v>5078</v>
      </c>
      <c r="D125" s="1" t="s">
        <v>5079</v>
      </c>
      <c r="E125" s="1" t="s">
        <v>5080</v>
      </c>
      <c r="F125" s="1" t="s">
        <v>5081</v>
      </c>
      <c r="G125" s="1" t="s">
        <v>22</v>
      </c>
      <c r="H125" s="1" t="s">
        <v>5081</v>
      </c>
    </row>
    <row r="126">
      <c r="A126" s="1" t="s">
        <v>355</v>
      </c>
      <c r="B126" s="1" t="s">
        <v>945</v>
      </c>
      <c r="C126" s="1" t="s">
        <v>5082</v>
      </c>
      <c r="D126" s="1">
        <v>5.0</v>
      </c>
      <c r="E126" s="1">
        <v>6.0</v>
      </c>
      <c r="F126" s="1">
        <v>4.0</v>
      </c>
      <c r="G126" s="1">
        <v>7.0</v>
      </c>
      <c r="H126" s="1">
        <v>6.0</v>
      </c>
    </row>
    <row r="127">
      <c r="A127" s="1" t="s">
        <v>355</v>
      </c>
      <c r="B127" s="1" t="s">
        <v>945</v>
      </c>
      <c r="C127" s="1" t="s">
        <v>5083</v>
      </c>
      <c r="D127" s="1">
        <v>10.0</v>
      </c>
      <c r="E127" s="1">
        <v>15.0</v>
      </c>
      <c r="F127" s="1">
        <v>20.0</v>
      </c>
      <c r="G127" s="1">
        <v>25.0</v>
      </c>
      <c r="H127" s="1">
        <v>20.0</v>
      </c>
    </row>
    <row r="128">
      <c r="A128" s="1" t="s">
        <v>355</v>
      </c>
      <c r="B128" s="1" t="s">
        <v>945</v>
      </c>
      <c r="C128" s="1" t="s">
        <v>5084</v>
      </c>
      <c r="D128" s="1">
        <v>20.0</v>
      </c>
      <c r="E128" s="1">
        <v>25.0</v>
      </c>
      <c r="F128" s="1">
        <v>15.0</v>
      </c>
      <c r="G128" s="1">
        <v>5.0</v>
      </c>
      <c r="H128" s="1">
        <v>20.0</v>
      </c>
    </row>
    <row r="129">
      <c r="A129" s="1" t="s">
        <v>355</v>
      </c>
      <c r="B129" s="1" t="s">
        <v>945</v>
      </c>
      <c r="C129" s="1" t="s">
        <v>5085</v>
      </c>
      <c r="D129" s="1" t="s">
        <v>5035</v>
      </c>
      <c r="E129" s="1" t="s">
        <v>5036</v>
      </c>
      <c r="F129" s="1" t="s">
        <v>5086</v>
      </c>
      <c r="G129" s="1" t="s">
        <v>5087</v>
      </c>
      <c r="H129" s="1" t="s">
        <v>5036</v>
      </c>
    </row>
    <row r="130">
      <c r="A130" s="1" t="s">
        <v>355</v>
      </c>
      <c r="B130" s="1" t="s">
        <v>945</v>
      </c>
      <c r="C130" s="1" t="s">
        <v>5088</v>
      </c>
      <c r="D130" s="1">
        <v>1.0</v>
      </c>
      <c r="E130" s="1">
        <v>2.0</v>
      </c>
      <c r="F130" s="1">
        <v>3.0</v>
      </c>
      <c r="G130" s="1">
        <v>4.0</v>
      </c>
      <c r="H130" s="1">
        <v>3.0</v>
      </c>
    </row>
    <row r="131">
      <c r="A131" s="1" t="s">
        <v>355</v>
      </c>
      <c r="B131" s="1" t="s">
        <v>945</v>
      </c>
      <c r="C131" s="1" t="s">
        <v>5089</v>
      </c>
      <c r="D131" s="1" t="s">
        <v>5090</v>
      </c>
      <c r="E131" s="1" t="s">
        <v>5091</v>
      </c>
      <c r="F131" s="1" t="s">
        <v>5092</v>
      </c>
      <c r="G131" s="1" t="s">
        <v>5093</v>
      </c>
      <c r="H131" s="1" t="s">
        <v>5090</v>
      </c>
    </row>
    <row r="132">
      <c r="A132" s="1" t="s">
        <v>355</v>
      </c>
      <c r="B132" s="1" t="s">
        <v>945</v>
      </c>
      <c r="C132" s="1" t="s">
        <v>5094</v>
      </c>
      <c r="D132" s="1">
        <v>70.0</v>
      </c>
      <c r="E132" s="1">
        <v>80.0</v>
      </c>
      <c r="F132" s="1">
        <v>75.0</v>
      </c>
      <c r="G132" s="1">
        <v>85.0</v>
      </c>
      <c r="H132" s="1">
        <v>80.0</v>
      </c>
    </row>
    <row r="133">
      <c r="A133" s="1" t="s">
        <v>355</v>
      </c>
      <c r="B133" s="1" t="s">
        <v>945</v>
      </c>
      <c r="C133" s="1" t="s">
        <v>5095</v>
      </c>
      <c r="D133" s="1">
        <v>1.0</v>
      </c>
      <c r="E133" s="1">
        <v>2.0</v>
      </c>
      <c r="F133" s="1">
        <v>3.0</v>
      </c>
      <c r="G133" s="1">
        <v>4.0</v>
      </c>
      <c r="H133" s="1" t="s">
        <v>5096</v>
      </c>
    </row>
    <row r="134">
      <c r="A134" s="1" t="s">
        <v>355</v>
      </c>
      <c r="B134" s="1" t="s">
        <v>945</v>
      </c>
      <c r="C134" s="1" t="s">
        <v>5097</v>
      </c>
      <c r="D134" s="1" t="s">
        <v>5098</v>
      </c>
      <c r="E134" s="1" t="s">
        <v>5099</v>
      </c>
      <c r="F134" s="1" t="s">
        <v>99</v>
      </c>
      <c r="G134" s="1" t="s">
        <v>837</v>
      </c>
      <c r="H134" s="1" t="s">
        <v>5098</v>
      </c>
    </row>
    <row r="135">
      <c r="A135" s="1" t="s">
        <v>355</v>
      </c>
      <c r="B135" s="1" t="s">
        <v>945</v>
      </c>
      <c r="C135" s="1" t="s">
        <v>5100</v>
      </c>
      <c r="D135" s="1">
        <v>2.0</v>
      </c>
      <c r="E135" s="1">
        <v>3.0</v>
      </c>
      <c r="F135" s="1">
        <v>4.0</v>
      </c>
      <c r="G135" s="1">
        <v>5.0</v>
      </c>
      <c r="H135" s="1">
        <v>3.0</v>
      </c>
    </row>
    <row r="136">
      <c r="A136" s="1" t="s">
        <v>355</v>
      </c>
      <c r="B136" s="1" t="s">
        <v>945</v>
      </c>
      <c r="C136" s="1" t="s">
        <v>5101</v>
      </c>
      <c r="D136" s="1" t="s">
        <v>4884</v>
      </c>
      <c r="E136" s="1" t="s">
        <v>4904</v>
      </c>
      <c r="F136" s="1" t="s">
        <v>4886</v>
      </c>
      <c r="G136" s="1" t="s">
        <v>4902</v>
      </c>
      <c r="H136" s="1" t="s">
        <v>4904</v>
      </c>
    </row>
    <row r="137">
      <c r="A137" s="1" t="s">
        <v>355</v>
      </c>
      <c r="B137" s="1" t="s">
        <v>945</v>
      </c>
      <c r="C137" s="1" t="s">
        <v>5102</v>
      </c>
      <c r="D137" s="1" t="s">
        <v>5103</v>
      </c>
      <c r="E137" s="1" t="s">
        <v>5104</v>
      </c>
      <c r="F137" s="1" t="s">
        <v>5105</v>
      </c>
      <c r="G137" s="1" t="s">
        <v>5106</v>
      </c>
      <c r="H137" s="1" t="s">
        <v>5106</v>
      </c>
    </row>
    <row r="138">
      <c r="A138" s="1" t="s">
        <v>355</v>
      </c>
      <c r="B138" s="1" t="s">
        <v>945</v>
      </c>
      <c r="C138" s="1" t="s">
        <v>5107</v>
      </c>
      <c r="D138" s="1" t="s">
        <v>5108</v>
      </c>
      <c r="E138" s="1" t="s">
        <v>5109</v>
      </c>
      <c r="F138" s="1" t="s">
        <v>5110</v>
      </c>
      <c r="G138" s="1" t="s">
        <v>5111</v>
      </c>
      <c r="H138" s="1" t="s">
        <v>5109</v>
      </c>
    </row>
    <row r="139">
      <c r="A139" s="1" t="s">
        <v>355</v>
      </c>
      <c r="B139" s="1" t="s">
        <v>945</v>
      </c>
      <c r="C139" s="1" t="s">
        <v>5112</v>
      </c>
      <c r="D139" s="1" t="s">
        <v>5113</v>
      </c>
      <c r="E139" s="1" t="s">
        <v>5114</v>
      </c>
      <c r="F139" s="1" t="s">
        <v>5115</v>
      </c>
      <c r="G139" s="1" t="s">
        <v>5116</v>
      </c>
      <c r="H139" s="1" t="s">
        <v>5113</v>
      </c>
    </row>
    <row r="140">
      <c r="A140" s="1" t="s">
        <v>355</v>
      </c>
      <c r="B140" s="1" t="s">
        <v>945</v>
      </c>
      <c r="C140" s="1" t="s">
        <v>5117</v>
      </c>
      <c r="D140" s="1" t="s">
        <v>5118</v>
      </c>
      <c r="E140" s="1" t="s">
        <v>5119</v>
      </c>
      <c r="F140" s="1" t="s">
        <v>5120</v>
      </c>
      <c r="G140" s="1" t="s">
        <v>5121</v>
      </c>
      <c r="H140" s="1" t="s">
        <v>5120</v>
      </c>
    </row>
    <row r="141">
      <c r="A141" s="1" t="s">
        <v>355</v>
      </c>
      <c r="B141" s="1" t="s">
        <v>945</v>
      </c>
      <c r="C141" s="1" t="s">
        <v>5122</v>
      </c>
      <c r="D141" s="1" t="s">
        <v>4863</v>
      </c>
      <c r="E141" s="1" t="s">
        <v>220</v>
      </c>
      <c r="F141" s="1" t="s">
        <v>4864</v>
      </c>
      <c r="G141" s="1" t="s">
        <v>22</v>
      </c>
      <c r="H141" s="1" t="s">
        <v>220</v>
      </c>
    </row>
    <row r="142">
      <c r="A142" s="1" t="s">
        <v>355</v>
      </c>
      <c r="B142" s="1" t="s">
        <v>945</v>
      </c>
      <c r="C142" s="1" t="s">
        <v>5123</v>
      </c>
      <c r="D142" s="1" t="s">
        <v>4863</v>
      </c>
      <c r="E142" s="1" t="s">
        <v>220</v>
      </c>
      <c r="F142" s="1" t="s">
        <v>4864</v>
      </c>
      <c r="G142" s="1" t="s">
        <v>5124</v>
      </c>
      <c r="H142" s="1" t="s">
        <v>220</v>
      </c>
    </row>
    <row r="143">
      <c r="A143" s="1" t="s">
        <v>355</v>
      </c>
      <c r="B143" s="1" t="s">
        <v>945</v>
      </c>
      <c r="C143" s="1" t="s">
        <v>5125</v>
      </c>
      <c r="D143" s="1" t="s">
        <v>4863</v>
      </c>
      <c r="E143" s="1" t="s">
        <v>220</v>
      </c>
      <c r="F143" s="1" t="s">
        <v>4864</v>
      </c>
      <c r="G143" s="1" t="s">
        <v>5126</v>
      </c>
      <c r="H143" s="1" t="s">
        <v>4864</v>
      </c>
    </row>
    <row r="144">
      <c r="A144" s="1" t="s">
        <v>355</v>
      </c>
      <c r="B144" s="1" t="s">
        <v>945</v>
      </c>
      <c r="C144" s="12" t="s">
        <v>5127</v>
      </c>
      <c r="D144" s="1" t="s">
        <v>5128</v>
      </c>
      <c r="E144" s="1" t="s">
        <v>5129</v>
      </c>
      <c r="F144" s="1" t="s">
        <v>5130</v>
      </c>
      <c r="G144" s="1" t="s">
        <v>22</v>
      </c>
      <c r="H144" s="1" t="s">
        <v>5128</v>
      </c>
    </row>
    <row r="145">
      <c r="A145" s="1" t="s">
        <v>355</v>
      </c>
      <c r="B145" s="1" t="s">
        <v>945</v>
      </c>
      <c r="C145" s="12" t="s">
        <v>5131</v>
      </c>
      <c r="D145" s="1" t="s">
        <v>5132</v>
      </c>
      <c r="E145" s="1" t="s">
        <v>5133</v>
      </c>
      <c r="F145" s="1" t="s">
        <v>5130</v>
      </c>
      <c r="G145" s="1" t="s">
        <v>22</v>
      </c>
      <c r="H145" s="1" t="s">
        <v>5133</v>
      </c>
    </row>
    <row r="146">
      <c r="A146" s="1" t="s">
        <v>355</v>
      </c>
      <c r="B146" s="1" t="s">
        <v>945</v>
      </c>
      <c r="C146" s="1" t="s">
        <v>5134</v>
      </c>
      <c r="D146" s="1">
        <v>12.0</v>
      </c>
      <c r="E146" s="1">
        <v>24.0</v>
      </c>
      <c r="F146" s="1">
        <v>8.0</v>
      </c>
      <c r="G146" s="1">
        <v>48.0</v>
      </c>
      <c r="H146" s="1">
        <v>12.0</v>
      </c>
    </row>
    <row r="147">
      <c r="A147" s="1" t="s">
        <v>355</v>
      </c>
      <c r="B147" s="1" t="s">
        <v>945</v>
      </c>
      <c r="C147" s="1" t="s">
        <v>5135</v>
      </c>
      <c r="D147" s="1" t="s">
        <v>71</v>
      </c>
      <c r="E147" s="1" t="s">
        <v>72</v>
      </c>
      <c r="F147" s="1" t="s">
        <v>5136</v>
      </c>
      <c r="G147" s="1" t="s">
        <v>341</v>
      </c>
      <c r="H147" s="1" t="s">
        <v>5136</v>
      </c>
    </row>
    <row r="148">
      <c r="A148" s="1" t="s">
        <v>355</v>
      </c>
      <c r="B148" s="1" t="s">
        <v>945</v>
      </c>
      <c r="C148" s="1" t="s">
        <v>5137</v>
      </c>
      <c r="D148" s="1" t="s">
        <v>5138</v>
      </c>
      <c r="E148" s="1" t="s">
        <v>5139</v>
      </c>
      <c r="F148" s="1" t="s">
        <v>5140</v>
      </c>
      <c r="G148" s="1" t="s">
        <v>5141</v>
      </c>
      <c r="H148" s="1" t="s">
        <v>5138</v>
      </c>
    </row>
    <row r="149">
      <c r="A149" s="1" t="s">
        <v>355</v>
      </c>
      <c r="B149" s="1" t="s">
        <v>945</v>
      </c>
      <c r="C149" s="1" t="s">
        <v>5142</v>
      </c>
      <c r="D149" s="1" t="s">
        <v>5138</v>
      </c>
      <c r="E149" s="1" t="s">
        <v>5140</v>
      </c>
      <c r="F149" s="1" t="s">
        <v>5141</v>
      </c>
      <c r="G149" s="1" t="s">
        <v>5143</v>
      </c>
      <c r="H149" s="1" t="s">
        <v>5140</v>
      </c>
    </row>
    <row r="150">
      <c r="A150" s="1" t="s">
        <v>355</v>
      </c>
      <c r="B150" s="1" t="s">
        <v>945</v>
      </c>
      <c r="C150" s="1" t="s">
        <v>5144</v>
      </c>
      <c r="D150" s="1" t="s">
        <v>5145</v>
      </c>
      <c r="E150" s="1" t="s">
        <v>5146</v>
      </c>
      <c r="F150" s="1" t="s">
        <v>5147</v>
      </c>
      <c r="G150" s="1" t="s">
        <v>5148</v>
      </c>
      <c r="H150" s="1" t="s">
        <v>5145</v>
      </c>
    </row>
    <row r="151">
      <c r="A151" s="1" t="s">
        <v>355</v>
      </c>
      <c r="B151" s="1" t="s">
        <v>945</v>
      </c>
      <c r="C151" s="1" t="s">
        <v>5149</v>
      </c>
      <c r="D151" s="1">
        <v>5.0</v>
      </c>
      <c r="E151" s="1">
        <v>5.5</v>
      </c>
      <c r="F151" s="1">
        <v>6.0</v>
      </c>
      <c r="G151" s="1">
        <v>4.5</v>
      </c>
      <c r="H151" s="1">
        <v>5.5</v>
      </c>
    </row>
    <row r="152">
      <c r="A152" s="1" t="s">
        <v>355</v>
      </c>
      <c r="B152" s="1" t="s">
        <v>945</v>
      </c>
      <c r="C152" s="1" t="s">
        <v>5150</v>
      </c>
      <c r="D152" s="1" t="s">
        <v>5151</v>
      </c>
      <c r="E152" s="1" t="s">
        <v>4901</v>
      </c>
      <c r="F152" s="1" t="s">
        <v>4885</v>
      </c>
      <c r="G152" s="1" t="s">
        <v>5152</v>
      </c>
      <c r="H152" s="1" t="s">
        <v>5151</v>
      </c>
    </row>
    <row r="153">
      <c r="A153" s="1" t="s">
        <v>355</v>
      </c>
      <c r="B153" s="1" t="s">
        <v>945</v>
      </c>
      <c r="C153" s="1" t="s">
        <v>5153</v>
      </c>
      <c r="D153" s="1">
        <v>15.0</v>
      </c>
      <c r="E153" s="1">
        <v>20.0</v>
      </c>
      <c r="F153" s="1">
        <v>25.0</v>
      </c>
      <c r="G153" s="1">
        <v>30.0</v>
      </c>
      <c r="H153" s="1">
        <v>20.0</v>
      </c>
    </row>
    <row r="154">
      <c r="A154" s="1" t="s">
        <v>355</v>
      </c>
      <c r="B154" s="1" t="s">
        <v>945</v>
      </c>
      <c r="C154" s="1" t="s">
        <v>5154</v>
      </c>
      <c r="D154" s="1" t="s">
        <v>4864</v>
      </c>
      <c r="E154" s="1" t="s">
        <v>220</v>
      </c>
      <c r="F154" s="1" t="s">
        <v>4863</v>
      </c>
      <c r="G154" s="1" t="s">
        <v>4845</v>
      </c>
      <c r="H154" s="1" t="s">
        <v>4863</v>
      </c>
    </row>
    <row r="155">
      <c r="A155" s="1" t="s">
        <v>355</v>
      </c>
      <c r="B155" s="1" t="s">
        <v>945</v>
      </c>
      <c r="C155" s="1" t="s">
        <v>5155</v>
      </c>
      <c r="D155" s="1" t="s">
        <v>5156</v>
      </c>
      <c r="E155" s="1" t="s">
        <v>5157</v>
      </c>
      <c r="F155" s="1" t="s">
        <v>5158</v>
      </c>
      <c r="G155" s="1" t="s">
        <v>22</v>
      </c>
      <c r="H155" s="1" t="s">
        <v>5159</v>
      </c>
    </row>
    <row r="156">
      <c r="A156" s="1" t="s">
        <v>355</v>
      </c>
      <c r="B156" s="1" t="s">
        <v>945</v>
      </c>
      <c r="C156" s="1" t="s">
        <v>5160</v>
      </c>
      <c r="D156" s="1">
        <v>8.0</v>
      </c>
      <c r="E156" s="1">
        <v>9.0</v>
      </c>
      <c r="F156" s="1">
        <v>10.0</v>
      </c>
      <c r="G156" s="1">
        <v>11.0</v>
      </c>
      <c r="H156" s="1">
        <v>10.0</v>
      </c>
    </row>
    <row r="157">
      <c r="A157" s="1" t="s">
        <v>355</v>
      </c>
      <c r="B157" s="1" t="s">
        <v>945</v>
      </c>
      <c r="C157" s="1" t="s">
        <v>5161</v>
      </c>
      <c r="D157" s="1">
        <v>13.33</v>
      </c>
      <c r="E157" s="1">
        <v>15.0</v>
      </c>
      <c r="F157" s="1">
        <v>10.0</v>
      </c>
      <c r="G157" s="1">
        <v>20.0</v>
      </c>
      <c r="H157" s="1">
        <v>13.33</v>
      </c>
    </row>
    <row r="158">
      <c r="A158" s="1" t="s">
        <v>355</v>
      </c>
      <c r="B158" s="1" t="s">
        <v>945</v>
      </c>
      <c r="C158" s="1" t="s">
        <v>5162</v>
      </c>
      <c r="D158" s="1" t="s">
        <v>5163</v>
      </c>
      <c r="E158" s="1">
        <v>1.0</v>
      </c>
      <c r="F158" s="1">
        <v>100.0</v>
      </c>
      <c r="G158" s="1">
        <v>0.0</v>
      </c>
      <c r="H158" s="1" t="s">
        <v>5163</v>
      </c>
    </row>
    <row r="159">
      <c r="A159" s="1" t="s">
        <v>355</v>
      </c>
      <c r="B159" s="1" t="s">
        <v>945</v>
      </c>
      <c r="C159" s="1" t="s">
        <v>5164</v>
      </c>
      <c r="D159" s="1" t="s">
        <v>3306</v>
      </c>
      <c r="E159" s="1" t="s">
        <v>3307</v>
      </c>
      <c r="F159" s="1" t="s">
        <v>5165</v>
      </c>
      <c r="G159" s="1" t="s">
        <v>5166</v>
      </c>
      <c r="H159" s="1" t="s">
        <v>5167</v>
      </c>
    </row>
    <row r="160">
      <c r="A160" s="1" t="s">
        <v>355</v>
      </c>
      <c r="B160" s="1" t="s">
        <v>945</v>
      </c>
      <c r="C160" s="1" t="s">
        <v>5168</v>
      </c>
      <c r="D160" s="1">
        <v>20.0</v>
      </c>
      <c r="E160" s="1">
        <v>22.0</v>
      </c>
      <c r="F160" s="1">
        <v>26.0</v>
      </c>
      <c r="G160" s="1">
        <v>30.0</v>
      </c>
      <c r="H160" s="1">
        <v>26.0</v>
      </c>
    </row>
    <row r="161">
      <c r="A161" s="1" t="s">
        <v>355</v>
      </c>
      <c r="B161" s="1" t="s">
        <v>945</v>
      </c>
      <c r="C161" s="1" t="s">
        <v>5169</v>
      </c>
      <c r="D161" s="1">
        <v>14.0</v>
      </c>
      <c r="E161" s="1">
        <v>15.0</v>
      </c>
      <c r="F161" s="1">
        <v>16.0</v>
      </c>
      <c r="G161" s="1">
        <v>18.0</v>
      </c>
      <c r="H161" s="1">
        <v>15.0</v>
      </c>
    </row>
    <row r="162">
      <c r="A162" s="1" t="s">
        <v>355</v>
      </c>
      <c r="B162" s="1" t="s">
        <v>945</v>
      </c>
      <c r="C162" s="1" t="s">
        <v>5170</v>
      </c>
      <c r="D162" s="1" t="s">
        <v>4965</v>
      </c>
      <c r="E162" s="1" t="s">
        <v>5171</v>
      </c>
      <c r="F162" s="1" t="s">
        <v>4930</v>
      </c>
      <c r="G162" s="1" t="s">
        <v>4994</v>
      </c>
      <c r="H162" s="1" t="s">
        <v>5171</v>
      </c>
    </row>
    <row r="163">
      <c r="A163" s="1" t="s">
        <v>355</v>
      </c>
      <c r="B163" s="1" t="s">
        <v>945</v>
      </c>
      <c r="C163" s="1" t="s">
        <v>5172</v>
      </c>
      <c r="D163" s="1">
        <v>4.5</v>
      </c>
      <c r="E163" s="1">
        <v>5.0</v>
      </c>
      <c r="F163" s="1">
        <v>5.5</v>
      </c>
      <c r="G163" s="1">
        <v>4.0</v>
      </c>
      <c r="H163" s="1">
        <v>4.5</v>
      </c>
    </row>
    <row r="164">
      <c r="A164" s="1" t="s">
        <v>355</v>
      </c>
      <c r="B164" s="1" t="s">
        <v>945</v>
      </c>
      <c r="C164" s="1" t="s">
        <v>5173</v>
      </c>
      <c r="D164" s="1">
        <v>1.0</v>
      </c>
      <c r="E164" s="1">
        <v>2.0</v>
      </c>
      <c r="F164" s="1">
        <v>3.0</v>
      </c>
      <c r="G164" s="1">
        <v>0.0</v>
      </c>
      <c r="H164" s="1">
        <v>2.0</v>
      </c>
    </row>
    <row r="165">
      <c r="A165" s="1" t="s">
        <v>355</v>
      </c>
      <c r="B165" s="1" t="s">
        <v>945</v>
      </c>
      <c r="C165" s="1" t="s">
        <v>5174</v>
      </c>
      <c r="D165" s="1">
        <v>7.0</v>
      </c>
      <c r="E165" s="1">
        <v>8.0</v>
      </c>
      <c r="F165" s="1">
        <v>9.0</v>
      </c>
      <c r="G165" s="1">
        <v>10.0</v>
      </c>
      <c r="H165" s="1">
        <v>9.0</v>
      </c>
    </row>
    <row r="166">
      <c r="A166" s="1" t="s">
        <v>355</v>
      </c>
      <c r="B166" s="1" t="s">
        <v>945</v>
      </c>
      <c r="C166" s="1" t="s">
        <v>5175</v>
      </c>
      <c r="D166" s="1">
        <v>6.0</v>
      </c>
      <c r="E166" s="1">
        <v>6.83</v>
      </c>
      <c r="F166" s="1">
        <v>7.0</v>
      </c>
      <c r="G166" s="1">
        <v>5.0</v>
      </c>
      <c r="H166" s="1">
        <v>6.83</v>
      </c>
    </row>
    <row r="167">
      <c r="A167" s="1" t="s">
        <v>355</v>
      </c>
      <c r="B167" s="1" t="s">
        <v>945</v>
      </c>
      <c r="C167" s="1" t="s">
        <v>5176</v>
      </c>
      <c r="D167" s="1">
        <v>26.0</v>
      </c>
      <c r="E167" s="1">
        <v>28.0</v>
      </c>
      <c r="F167" s="1">
        <v>30.0</v>
      </c>
      <c r="G167" s="1">
        <v>24.0</v>
      </c>
      <c r="H167" s="1">
        <v>30.0</v>
      </c>
    </row>
    <row r="168">
      <c r="A168" s="1" t="s">
        <v>355</v>
      </c>
      <c r="B168" s="1" t="s">
        <v>945</v>
      </c>
      <c r="C168" s="1" t="s">
        <v>5177</v>
      </c>
      <c r="D168" s="1" t="s">
        <v>5178</v>
      </c>
      <c r="E168" s="1" t="s">
        <v>5179</v>
      </c>
      <c r="F168" s="1" t="s">
        <v>5180</v>
      </c>
      <c r="G168" s="1" t="s">
        <v>5181</v>
      </c>
      <c r="H168" s="1" t="s">
        <v>5178</v>
      </c>
    </row>
    <row r="169">
      <c r="A169" s="1" t="s">
        <v>355</v>
      </c>
      <c r="B169" s="1" t="s">
        <v>945</v>
      </c>
      <c r="C169" s="1" t="s">
        <v>5182</v>
      </c>
      <c r="D169" s="1" t="s">
        <v>5183</v>
      </c>
      <c r="E169" s="1" t="s">
        <v>5022</v>
      </c>
      <c r="F169" s="1" t="s">
        <v>5184</v>
      </c>
      <c r="G169" s="1" t="s">
        <v>5024</v>
      </c>
      <c r="H169" s="1" t="s">
        <v>5184</v>
      </c>
    </row>
    <row r="170">
      <c r="A170" s="1" t="s">
        <v>355</v>
      </c>
      <c r="B170" s="1" t="s">
        <v>945</v>
      </c>
      <c r="C170" s="1" t="s">
        <v>5185</v>
      </c>
      <c r="D170" s="1" t="s">
        <v>5186</v>
      </c>
      <c r="E170" s="1" t="s">
        <v>5187</v>
      </c>
      <c r="F170" s="1" t="s">
        <v>5188</v>
      </c>
      <c r="G170" s="1">
        <v>0.0</v>
      </c>
      <c r="H170" s="1" t="s">
        <v>5186</v>
      </c>
    </row>
    <row r="171">
      <c r="A171" s="1" t="s">
        <v>355</v>
      </c>
      <c r="B171" s="1" t="s">
        <v>945</v>
      </c>
      <c r="C171" s="1" t="s">
        <v>5189</v>
      </c>
      <c r="D171" s="1">
        <v>30.0</v>
      </c>
      <c r="E171" s="1">
        <v>37.0</v>
      </c>
      <c r="F171" s="1">
        <v>25.0</v>
      </c>
      <c r="G171" s="1">
        <v>12.0</v>
      </c>
      <c r="H171" s="1">
        <v>37.0</v>
      </c>
    </row>
    <row r="172">
      <c r="A172" s="1" t="s">
        <v>355</v>
      </c>
      <c r="B172" s="1" t="s">
        <v>945</v>
      </c>
      <c r="C172" s="1" t="s">
        <v>5190</v>
      </c>
      <c r="D172" s="7">
        <v>42282.0</v>
      </c>
      <c r="E172" s="1" t="s">
        <v>5191</v>
      </c>
      <c r="F172" s="1" t="s">
        <v>5192</v>
      </c>
      <c r="G172" s="3">
        <v>36819.0</v>
      </c>
      <c r="H172" s="1" t="s">
        <v>5191</v>
      </c>
    </row>
    <row r="173">
      <c r="A173" s="1" t="s">
        <v>355</v>
      </c>
      <c r="B173" s="1" t="s">
        <v>945</v>
      </c>
      <c r="C173" s="1" t="s">
        <v>5193</v>
      </c>
      <c r="D173" s="1">
        <v>5.0</v>
      </c>
      <c r="E173" s="1">
        <v>7.0</v>
      </c>
      <c r="F173" s="1">
        <v>11.0</v>
      </c>
      <c r="G173" s="1">
        <v>9.0</v>
      </c>
      <c r="H173" s="1">
        <v>7.0</v>
      </c>
    </row>
    <row r="174">
      <c r="A174" s="1" t="s">
        <v>355</v>
      </c>
      <c r="B174" s="1" t="s">
        <v>945</v>
      </c>
      <c r="C174" s="1" t="s">
        <v>5194</v>
      </c>
      <c r="D174" s="13">
        <v>0.2</v>
      </c>
      <c r="E174" s="13">
        <v>0.4</v>
      </c>
      <c r="F174" s="13">
        <v>0.5</v>
      </c>
      <c r="G174" s="13">
        <v>0.1</v>
      </c>
      <c r="H174" s="13">
        <v>0.4</v>
      </c>
    </row>
    <row r="175">
      <c r="A175" s="1" t="s">
        <v>355</v>
      </c>
      <c r="B175" s="1" t="s">
        <v>945</v>
      </c>
      <c r="C175" s="1" t="s">
        <v>5195</v>
      </c>
      <c r="D175" s="1">
        <v>1.0</v>
      </c>
      <c r="E175" s="1">
        <v>0.67</v>
      </c>
      <c r="F175" s="1">
        <v>1.5</v>
      </c>
      <c r="G175" s="1">
        <v>2.0</v>
      </c>
      <c r="H175" s="1">
        <v>0.67</v>
      </c>
    </row>
    <row r="176">
      <c r="A176" s="1" t="s">
        <v>355</v>
      </c>
      <c r="B176" s="1" t="s">
        <v>945</v>
      </c>
      <c r="C176" s="1" t="s">
        <v>5196</v>
      </c>
      <c r="D176" s="1">
        <v>8.0</v>
      </c>
      <c r="E176" s="1">
        <v>10.0</v>
      </c>
      <c r="F176" s="1">
        <v>12.0</v>
      </c>
      <c r="G176" s="1">
        <v>9.0</v>
      </c>
      <c r="H176" s="1">
        <v>10.0</v>
      </c>
    </row>
    <row r="177">
      <c r="A177" s="1" t="s">
        <v>355</v>
      </c>
      <c r="B177" s="1" t="s">
        <v>945</v>
      </c>
      <c r="C177" s="1" t="s">
        <v>5197</v>
      </c>
      <c r="D177" s="1">
        <v>100.0</v>
      </c>
      <c r="E177" s="1">
        <v>150.0</v>
      </c>
      <c r="F177" s="1">
        <v>120.0</v>
      </c>
      <c r="G177" s="1">
        <v>200.0</v>
      </c>
      <c r="H177" s="1">
        <v>150.0</v>
      </c>
    </row>
    <row r="178">
      <c r="A178" s="1" t="s">
        <v>355</v>
      </c>
      <c r="B178" s="1" t="s">
        <v>945</v>
      </c>
      <c r="C178" s="1" t="s">
        <v>5198</v>
      </c>
      <c r="D178" s="1" t="s">
        <v>4965</v>
      </c>
      <c r="E178" s="1" t="s">
        <v>4930</v>
      </c>
      <c r="F178" s="1" t="s">
        <v>4994</v>
      </c>
      <c r="G178" s="1" t="s">
        <v>4929</v>
      </c>
      <c r="H178" s="1" t="s">
        <v>4930</v>
      </c>
    </row>
    <row r="179">
      <c r="A179" s="1" t="s">
        <v>355</v>
      </c>
      <c r="B179" s="1" t="s">
        <v>945</v>
      </c>
      <c r="C179" s="1" t="s">
        <v>5199</v>
      </c>
      <c r="D179" s="1">
        <v>2.0</v>
      </c>
      <c r="E179" s="1">
        <v>6.0</v>
      </c>
      <c r="F179" s="1">
        <v>4.0</v>
      </c>
      <c r="G179" s="1">
        <v>5.0</v>
      </c>
      <c r="H179" s="1">
        <v>4.0</v>
      </c>
    </row>
    <row r="180">
      <c r="A180" s="1" t="s">
        <v>355</v>
      </c>
      <c r="B180" s="1" t="s">
        <v>945</v>
      </c>
      <c r="C180" s="1" t="s">
        <v>5200</v>
      </c>
      <c r="D180" s="1">
        <v>5.0</v>
      </c>
      <c r="E180" s="1">
        <v>5.5</v>
      </c>
      <c r="F180" s="1">
        <v>6.0</v>
      </c>
      <c r="G180" s="1">
        <v>4.5</v>
      </c>
      <c r="H180" s="1">
        <v>5.5</v>
      </c>
    </row>
    <row r="181">
      <c r="A181" s="1" t="s">
        <v>355</v>
      </c>
      <c r="B181" s="1" t="s">
        <v>945</v>
      </c>
      <c r="C181" s="1" t="s">
        <v>5201</v>
      </c>
      <c r="D181" s="1">
        <v>24.0</v>
      </c>
      <c r="E181" s="1">
        <v>26.0</v>
      </c>
      <c r="F181" s="1">
        <v>25.0</v>
      </c>
      <c r="G181" s="1">
        <v>0.0</v>
      </c>
      <c r="H181" s="1">
        <v>25.0</v>
      </c>
    </row>
    <row r="182">
      <c r="A182" s="1" t="s">
        <v>355</v>
      </c>
      <c r="B182" s="1" t="s">
        <v>945</v>
      </c>
      <c r="C182" s="1" t="s">
        <v>5202</v>
      </c>
      <c r="D182" s="1">
        <v>20.0</v>
      </c>
      <c r="E182" s="1">
        <v>30.0</v>
      </c>
      <c r="F182" s="1">
        <v>40.0</v>
      </c>
      <c r="G182" s="1">
        <v>10.0</v>
      </c>
      <c r="H182" s="1">
        <v>30.0</v>
      </c>
    </row>
    <row r="183">
      <c r="A183" s="1" t="s">
        <v>355</v>
      </c>
      <c r="B183" s="1" t="s">
        <v>945</v>
      </c>
      <c r="C183" s="1" t="s">
        <v>5203</v>
      </c>
      <c r="D183" s="1">
        <v>16.0</v>
      </c>
      <c r="E183" s="1">
        <v>17.0</v>
      </c>
      <c r="F183" s="1">
        <v>16.5</v>
      </c>
      <c r="G183" s="1">
        <v>18.0</v>
      </c>
      <c r="H183" s="1">
        <v>16.5</v>
      </c>
    </row>
    <row r="184">
      <c r="A184" s="1" t="s">
        <v>355</v>
      </c>
      <c r="B184" s="1" t="s">
        <v>945</v>
      </c>
      <c r="C184" s="1" t="s">
        <v>5204</v>
      </c>
      <c r="D184" s="1" t="s">
        <v>5205</v>
      </c>
      <c r="E184" s="1" t="s">
        <v>5206</v>
      </c>
      <c r="F184" s="1" t="s">
        <v>5207</v>
      </c>
      <c r="G184" s="1" t="s">
        <v>5208</v>
      </c>
      <c r="H184" s="1" t="s">
        <v>5207</v>
      </c>
    </row>
    <row r="185">
      <c r="A185" s="1" t="s">
        <v>355</v>
      </c>
      <c r="B185" s="1" t="s">
        <v>945</v>
      </c>
      <c r="C185" s="1" t="s">
        <v>5209</v>
      </c>
      <c r="D185" s="1" t="s">
        <v>3044</v>
      </c>
      <c r="E185" s="1" t="s">
        <v>3426</v>
      </c>
      <c r="F185" s="1" t="s">
        <v>3441</v>
      </c>
      <c r="G185" s="1" t="s">
        <v>3478</v>
      </c>
      <c r="H185" s="1" t="s">
        <v>3478</v>
      </c>
    </row>
    <row r="186">
      <c r="A186" s="1" t="s">
        <v>355</v>
      </c>
      <c r="B186" s="1" t="s">
        <v>945</v>
      </c>
      <c r="C186" s="1" t="s">
        <v>5210</v>
      </c>
      <c r="D186" s="1">
        <v>18.0</v>
      </c>
      <c r="E186" s="1">
        <v>20.0</v>
      </c>
      <c r="F186" s="1">
        <v>22.0</v>
      </c>
      <c r="G186" s="1">
        <v>10.0</v>
      </c>
      <c r="H186" s="1">
        <v>18.0</v>
      </c>
    </row>
    <row r="187">
      <c r="A187" s="1" t="s">
        <v>355</v>
      </c>
      <c r="B187" s="1" t="s">
        <v>945</v>
      </c>
      <c r="C187" s="1" t="s">
        <v>5211</v>
      </c>
      <c r="D187" s="1" t="s">
        <v>4863</v>
      </c>
      <c r="E187" s="1" t="s">
        <v>220</v>
      </c>
      <c r="F187" s="1" t="s">
        <v>4864</v>
      </c>
      <c r="G187" s="1">
        <v>0.0</v>
      </c>
      <c r="H187" s="1" t="s">
        <v>220</v>
      </c>
    </row>
    <row r="188">
      <c r="A188" s="1" t="s">
        <v>355</v>
      </c>
      <c r="B188" s="1" t="s">
        <v>945</v>
      </c>
      <c r="C188" s="1" t="s">
        <v>5212</v>
      </c>
      <c r="D188" s="1">
        <v>10.0</v>
      </c>
      <c r="E188" s="1">
        <v>20.0</v>
      </c>
      <c r="F188" s="1">
        <v>80.0</v>
      </c>
      <c r="G188" s="1">
        <v>100.0</v>
      </c>
      <c r="H188" s="1">
        <v>20.0</v>
      </c>
    </row>
    <row r="189">
      <c r="A189" s="1" t="s">
        <v>355</v>
      </c>
      <c r="B189" s="1" t="s">
        <v>945</v>
      </c>
      <c r="C189" s="1" t="s">
        <v>5213</v>
      </c>
      <c r="D189" s="1">
        <v>3.0</v>
      </c>
      <c r="E189" s="1">
        <v>3.33</v>
      </c>
      <c r="F189" s="1">
        <v>4.0</v>
      </c>
      <c r="G189" s="1">
        <v>5.0</v>
      </c>
      <c r="H189" s="1">
        <v>3.33</v>
      </c>
    </row>
    <row r="190">
      <c r="A190" s="1" t="s">
        <v>355</v>
      </c>
      <c r="B190" s="1" t="s">
        <v>945</v>
      </c>
      <c r="C190" s="1" t="s">
        <v>5214</v>
      </c>
      <c r="D190" s="1">
        <v>4.0</v>
      </c>
      <c r="E190" s="1">
        <v>5.0</v>
      </c>
      <c r="F190" s="1">
        <v>6.0</v>
      </c>
      <c r="G190" s="1">
        <v>7.0</v>
      </c>
      <c r="H190" s="1">
        <v>6.0</v>
      </c>
    </row>
    <row r="191">
      <c r="A191" s="1" t="s">
        <v>355</v>
      </c>
      <c r="B191" s="1" t="s">
        <v>945</v>
      </c>
      <c r="C191" s="1" t="s">
        <v>5215</v>
      </c>
      <c r="D191" s="1" t="s">
        <v>4863</v>
      </c>
      <c r="E191" s="1" t="s">
        <v>220</v>
      </c>
      <c r="F191" s="1" t="s">
        <v>4864</v>
      </c>
      <c r="G191" s="1" t="s">
        <v>4909</v>
      </c>
      <c r="H191" s="1" t="s">
        <v>4864</v>
      </c>
    </row>
    <row r="192">
      <c r="A192" s="1" t="s">
        <v>355</v>
      </c>
      <c r="B192" s="1" t="s">
        <v>945</v>
      </c>
      <c r="C192" s="1" t="s">
        <v>5216</v>
      </c>
      <c r="D192" s="1">
        <v>10.0</v>
      </c>
      <c r="E192" s="1">
        <v>20.0</v>
      </c>
      <c r="F192" s="1">
        <v>15.0</v>
      </c>
      <c r="G192" s="1">
        <v>30.0</v>
      </c>
      <c r="H192" s="1">
        <v>10.0</v>
      </c>
    </row>
    <row r="193">
      <c r="A193" s="1" t="s">
        <v>355</v>
      </c>
      <c r="B193" s="1" t="s">
        <v>945</v>
      </c>
      <c r="C193" s="1" t="s">
        <v>5217</v>
      </c>
      <c r="D193" s="1" t="s">
        <v>4863</v>
      </c>
      <c r="E193" s="1" t="s">
        <v>220</v>
      </c>
      <c r="F193" s="1" t="s">
        <v>4864</v>
      </c>
      <c r="G193" s="1" t="s">
        <v>22</v>
      </c>
      <c r="H193" s="1" t="s">
        <v>22</v>
      </c>
    </row>
    <row r="194">
      <c r="A194" s="1" t="s">
        <v>355</v>
      </c>
      <c r="B194" s="1" t="s">
        <v>945</v>
      </c>
      <c r="C194" s="1" t="s">
        <v>5218</v>
      </c>
      <c r="D194" s="1" t="s">
        <v>5219</v>
      </c>
      <c r="E194" s="16">
        <v>46300.0</v>
      </c>
      <c r="F194" s="1" t="s">
        <v>5220</v>
      </c>
      <c r="G194" s="1" t="s">
        <v>5221</v>
      </c>
      <c r="H194" s="1" t="s">
        <v>5222</v>
      </c>
    </row>
    <row r="195">
      <c r="A195" s="1" t="s">
        <v>355</v>
      </c>
      <c r="B195" s="1" t="s">
        <v>945</v>
      </c>
      <c r="C195" s="1" t="s">
        <v>5223</v>
      </c>
      <c r="D195" s="1">
        <v>2.0</v>
      </c>
      <c r="E195" s="1">
        <v>2.5</v>
      </c>
      <c r="F195" s="1">
        <v>3.0</v>
      </c>
      <c r="G195" s="1">
        <v>1.41</v>
      </c>
      <c r="H195" s="1">
        <v>2.0</v>
      </c>
    </row>
    <row r="196">
      <c r="A196" s="1" t="s">
        <v>355</v>
      </c>
      <c r="B196" s="1" t="s">
        <v>945</v>
      </c>
      <c r="C196" s="1" t="s">
        <v>5224</v>
      </c>
      <c r="D196" s="1">
        <v>20.0</v>
      </c>
      <c r="E196" s="1">
        <v>5.0</v>
      </c>
      <c r="F196" s="1">
        <v>10.0</v>
      </c>
      <c r="G196" s="1">
        <v>50.0</v>
      </c>
      <c r="H196" s="1">
        <v>5.0</v>
      </c>
    </row>
    <row r="197">
      <c r="A197" s="1" t="s">
        <v>355</v>
      </c>
      <c r="B197" s="1" t="s">
        <v>945</v>
      </c>
      <c r="C197" s="1" t="s">
        <v>5225</v>
      </c>
      <c r="D197" s="1" t="s">
        <v>5226</v>
      </c>
      <c r="E197" s="1" t="s">
        <v>5227</v>
      </c>
      <c r="F197" s="1" t="s">
        <v>1059</v>
      </c>
      <c r="G197" s="1" t="s">
        <v>5228</v>
      </c>
      <c r="H197" s="1" t="s">
        <v>5229</v>
      </c>
    </row>
    <row r="198">
      <c r="A198" s="1" t="s">
        <v>355</v>
      </c>
      <c r="B198" s="1" t="s">
        <v>945</v>
      </c>
      <c r="C198" s="1" t="s">
        <v>5230</v>
      </c>
      <c r="D198" s="1" t="s">
        <v>4930</v>
      </c>
      <c r="E198" s="1" t="s">
        <v>4965</v>
      </c>
      <c r="F198" s="1" t="s">
        <v>4994</v>
      </c>
      <c r="G198" s="1" t="s">
        <v>4929</v>
      </c>
      <c r="H198" s="1" t="s">
        <v>4994</v>
      </c>
    </row>
    <row r="199">
      <c r="A199" s="1" t="s">
        <v>355</v>
      </c>
      <c r="B199" s="1" t="s">
        <v>945</v>
      </c>
      <c r="C199" s="1" t="s">
        <v>5231</v>
      </c>
      <c r="D199" s="1" t="s">
        <v>5232</v>
      </c>
      <c r="E199" s="1" t="s">
        <v>5233</v>
      </c>
      <c r="F199" s="1" t="s">
        <v>5234</v>
      </c>
      <c r="G199" s="1" t="s">
        <v>5235</v>
      </c>
      <c r="H199" s="1" t="s">
        <v>5235</v>
      </c>
    </row>
    <row r="200">
      <c r="A200" s="1" t="s">
        <v>355</v>
      </c>
      <c r="B200" s="1" t="s">
        <v>945</v>
      </c>
      <c r="C200" s="1" t="s">
        <v>5236</v>
      </c>
      <c r="D200" s="1">
        <v>1.0</v>
      </c>
      <c r="E200" s="1">
        <v>5.0</v>
      </c>
      <c r="F200" s="1">
        <v>0.0</v>
      </c>
      <c r="G200" s="1">
        <v>2.5</v>
      </c>
      <c r="H200" s="1">
        <v>0.0</v>
      </c>
    </row>
    <row r="201">
      <c r="A201" s="1" t="s">
        <v>355</v>
      </c>
      <c r="B201" s="1" t="s">
        <v>945</v>
      </c>
      <c r="C201" s="1" t="s">
        <v>5237</v>
      </c>
      <c r="D201" s="1">
        <v>25.0</v>
      </c>
      <c r="E201" s="1">
        <v>30.0</v>
      </c>
      <c r="F201" s="1">
        <v>5.0</v>
      </c>
      <c r="G201" s="1">
        <v>55.0</v>
      </c>
      <c r="H201" s="1">
        <v>5.0</v>
      </c>
    </row>
    <row r="202">
      <c r="A202" s="1" t="s">
        <v>355</v>
      </c>
      <c r="B202" s="1" t="s">
        <v>945</v>
      </c>
      <c r="C202" s="1" t="s">
        <v>5238</v>
      </c>
      <c r="D202" s="1" t="s">
        <v>5239</v>
      </c>
      <c r="E202" s="1" t="s">
        <v>5240</v>
      </c>
      <c r="F202" s="1" t="s">
        <v>5241</v>
      </c>
      <c r="G202" s="1" t="s">
        <v>22</v>
      </c>
      <c r="H202" s="1" t="s">
        <v>5242</v>
      </c>
    </row>
    <row r="203">
      <c r="A203" s="1" t="s">
        <v>355</v>
      </c>
      <c r="B203" s="1" t="s">
        <v>945</v>
      </c>
      <c r="C203" s="1" t="s">
        <v>5243</v>
      </c>
      <c r="D203" s="1" t="s">
        <v>5244</v>
      </c>
      <c r="E203" s="1" t="s">
        <v>5245</v>
      </c>
      <c r="F203" s="1" t="s">
        <v>5246</v>
      </c>
      <c r="G203" s="1" t="s">
        <v>5247</v>
      </c>
      <c r="H203" s="1" t="s">
        <v>5248</v>
      </c>
    </row>
    <row r="204">
      <c r="A204" s="1" t="s">
        <v>355</v>
      </c>
      <c r="B204" s="1" t="s">
        <v>945</v>
      </c>
      <c r="C204" s="1" t="s">
        <v>5249</v>
      </c>
      <c r="D204" s="1">
        <v>10.0</v>
      </c>
      <c r="E204" s="1">
        <v>12.5</v>
      </c>
      <c r="F204" s="1">
        <v>15.0</v>
      </c>
      <c r="G204" s="1">
        <v>20.0</v>
      </c>
      <c r="H204" s="1">
        <v>12.5</v>
      </c>
    </row>
    <row r="205">
      <c r="A205" s="1" t="s">
        <v>355</v>
      </c>
      <c r="B205" s="1" t="s">
        <v>945</v>
      </c>
      <c r="C205" s="1" t="s">
        <v>5250</v>
      </c>
      <c r="D205" s="1" t="s">
        <v>5251</v>
      </c>
      <c r="E205" s="1" t="s">
        <v>5252</v>
      </c>
      <c r="F205" s="1" t="s">
        <v>5253</v>
      </c>
      <c r="G205" s="1" t="s">
        <v>5106</v>
      </c>
      <c r="H205" s="1" t="s">
        <v>5106</v>
      </c>
    </row>
    <row r="206">
      <c r="A206" s="1" t="s">
        <v>355</v>
      </c>
      <c r="B206" s="1" t="s">
        <v>945</v>
      </c>
      <c r="C206" s="1" t="s">
        <v>5254</v>
      </c>
      <c r="D206" s="1" t="s">
        <v>4863</v>
      </c>
      <c r="E206" s="1" t="s">
        <v>220</v>
      </c>
      <c r="F206" s="1" t="s">
        <v>5126</v>
      </c>
      <c r="G206" s="1" t="s">
        <v>5124</v>
      </c>
      <c r="H206" s="1" t="s">
        <v>220</v>
      </c>
    </row>
    <row r="207">
      <c r="A207" s="1" t="s">
        <v>355</v>
      </c>
      <c r="B207" s="1" t="s">
        <v>945</v>
      </c>
      <c r="C207" s="1" t="s">
        <v>5255</v>
      </c>
      <c r="D207" s="1">
        <v>10.0</v>
      </c>
      <c r="E207" s="1">
        <v>15.0</v>
      </c>
      <c r="F207" s="1">
        <v>20.0</v>
      </c>
      <c r="G207" s="1">
        <v>30.0</v>
      </c>
      <c r="H207" s="1">
        <v>15.0</v>
      </c>
    </row>
    <row r="208">
      <c r="A208" s="1" t="s">
        <v>355</v>
      </c>
      <c r="B208" s="1" t="s">
        <v>945</v>
      </c>
      <c r="C208" s="1" t="s">
        <v>5256</v>
      </c>
      <c r="D208" s="1">
        <v>0.0</v>
      </c>
      <c r="E208" s="1">
        <v>1.0</v>
      </c>
      <c r="F208" s="1">
        <v>-1.0</v>
      </c>
      <c r="G208" s="1" t="s">
        <v>417</v>
      </c>
      <c r="H208" s="1">
        <v>0.0</v>
      </c>
    </row>
    <row r="209">
      <c r="A209" s="1" t="s">
        <v>355</v>
      </c>
      <c r="B209" s="1" t="s">
        <v>945</v>
      </c>
      <c r="C209" s="1" t="s">
        <v>5257</v>
      </c>
      <c r="D209" s="1">
        <v>12.0</v>
      </c>
      <c r="E209" s="1">
        <v>144.0</v>
      </c>
      <c r="F209" s="1">
        <v>72.0</v>
      </c>
      <c r="G209" s="1">
        <v>14.4</v>
      </c>
      <c r="H209" s="1">
        <v>12.0</v>
      </c>
    </row>
    <row r="210">
      <c r="A210" s="1" t="s">
        <v>355</v>
      </c>
      <c r="B210" s="1" t="s">
        <v>945</v>
      </c>
      <c r="C210" s="1" t="s">
        <v>5258</v>
      </c>
      <c r="D210" s="1" t="s">
        <v>4863</v>
      </c>
      <c r="E210" s="1" t="s">
        <v>220</v>
      </c>
      <c r="F210" s="1" t="s">
        <v>4864</v>
      </c>
      <c r="G210" s="1" t="s">
        <v>22</v>
      </c>
      <c r="H210" s="1" t="s">
        <v>4864</v>
      </c>
    </row>
    <row r="211">
      <c r="A211" s="1" t="s">
        <v>355</v>
      </c>
      <c r="B211" s="1" t="s">
        <v>945</v>
      </c>
      <c r="C211" s="1" t="s">
        <v>5259</v>
      </c>
      <c r="D211" s="1" t="s">
        <v>4863</v>
      </c>
      <c r="E211" s="1" t="s">
        <v>5126</v>
      </c>
      <c r="F211" s="1" t="s">
        <v>5124</v>
      </c>
      <c r="G211" s="1" t="s">
        <v>220</v>
      </c>
      <c r="H211" s="1" t="s">
        <v>5260</v>
      </c>
    </row>
    <row r="212">
      <c r="A212" s="1" t="s">
        <v>355</v>
      </c>
      <c r="B212" s="1" t="s">
        <v>945</v>
      </c>
      <c r="C212" s="1" t="s">
        <v>5261</v>
      </c>
      <c r="D212" s="1">
        <v>20.0</v>
      </c>
      <c r="E212" s="1">
        <v>30.0</v>
      </c>
      <c r="F212" s="1">
        <v>40.0</v>
      </c>
      <c r="G212" s="1">
        <v>25.0</v>
      </c>
      <c r="H212" s="1">
        <v>30.0</v>
      </c>
    </row>
    <row r="213">
      <c r="A213" s="1" t="s">
        <v>355</v>
      </c>
      <c r="B213" s="1" t="s">
        <v>945</v>
      </c>
      <c r="C213" s="1" t="s">
        <v>5262</v>
      </c>
      <c r="D213" s="1" t="s">
        <v>4846</v>
      </c>
      <c r="E213" s="1" t="s">
        <v>5023</v>
      </c>
      <c r="F213" s="1" t="s">
        <v>4845</v>
      </c>
      <c r="G213" s="1" t="s">
        <v>5024</v>
      </c>
      <c r="H213" s="1" t="s">
        <v>4845</v>
      </c>
    </row>
    <row r="214">
      <c r="A214" s="1" t="s">
        <v>355</v>
      </c>
      <c r="B214" s="1" t="s">
        <v>945</v>
      </c>
      <c r="C214" s="1" t="s">
        <v>5263</v>
      </c>
      <c r="D214" s="1">
        <v>18.66</v>
      </c>
      <c r="E214" s="1">
        <v>20.0</v>
      </c>
      <c r="F214" s="1">
        <v>16.0</v>
      </c>
      <c r="G214" s="1">
        <v>22.0</v>
      </c>
      <c r="H214" s="1">
        <v>18.66</v>
      </c>
    </row>
    <row r="215">
      <c r="A215" s="1" t="s">
        <v>355</v>
      </c>
      <c r="B215" s="1" t="s">
        <v>945</v>
      </c>
      <c r="C215" s="1" t="s">
        <v>5264</v>
      </c>
      <c r="D215" s="1" t="s">
        <v>5121</v>
      </c>
      <c r="E215" s="1" t="s">
        <v>5265</v>
      </c>
      <c r="F215" s="1" t="s">
        <v>5118</v>
      </c>
      <c r="G215" s="1" t="s">
        <v>22</v>
      </c>
      <c r="H215" s="1" t="s">
        <v>5266</v>
      </c>
    </row>
    <row r="216">
      <c r="A216" s="1" t="s">
        <v>355</v>
      </c>
      <c r="B216" s="1" t="s">
        <v>945</v>
      </c>
      <c r="C216" s="1" t="s">
        <v>5267</v>
      </c>
      <c r="D216" s="1">
        <v>50.0</v>
      </c>
      <c r="E216" s="1">
        <v>60.0</v>
      </c>
      <c r="F216" s="1">
        <v>70.0</v>
      </c>
      <c r="G216" s="1">
        <v>120.0</v>
      </c>
      <c r="H216" s="1">
        <v>60.0</v>
      </c>
    </row>
    <row r="217">
      <c r="A217" s="1" t="s">
        <v>355</v>
      </c>
      <c r="B217" s="1" t="s">
        <v>945</v>
      </c>
      <c r="C217" s="1" t="s">
        <v>5268</v>
      </c>
      <c r="D217" s="1" t="s">
        <v>5269</v>
      </c>
      <c r="E217" s="1" t="s">
        <v>5270</v>
      </c>
      <c r="F217" s="1" t="s">
        <v>5271</v>
      </c>
      <c r="G217" s="1" t="s">
        <v>5272</v>
      </c>
      <c r="H217" s="1" t="s">
        <v>5269</v>
      </c>
    </row>
    <row r="218">
      <c r="A218" s="1" t="s">
        <v>355</v>
      </c>
      <c r="B218" s="1" t="s">
        <v>945</v>
      </c>
      <c r="C218" s="1" t="s">
        <v>5273</v>
      </c>
      <c r="D218" s="1" t="s">
        <v>5274</v>
      </c>
      <c r="E218" s="1" t="s">
        <v>5275</v>
      </c>
      <c r="F218" s="1" t="s">
        <v>5276</v>
      </c>
      <c r="G218" s="1" t="s">
        <v>22</v>
      </c>
      <c r="H218" s="1" t="s">
        <v>5274</v>
      </c>
    </row>
    <row r="219">
      <c r="A219" s="1" t="s">
        <v>355</v>
      </c>
      <c r="B219" s="1" t="s">
        <v>945</v>
      </c>
      <c r="C219" s="1" t="s">
        <v>5277</v>
      </c>
      <c r="D219" s="1" t="s">
        <v>5274</v>
      </c>
      <c r="E219" s="1" t="s">
        <v>5278</v>
      </c>
      <c r="F219" s="1" t="s">
        <v>5279</v>
      </c>
      <c r="G219" s="1" t="s">
        <v>22</v>
      </c>
      <c r="H219" s="1" t="s">
        <v>5278</v>
      </c>
    </row>
    <row r="220">
      <c r="A220" s="1" t="s">
        <v>355</v>
      </c>
      <c r="B220" s="1" t="s">
        <v>945</v>
      </c>
      <c r="C220" s="1" t="s">
        <v>5280</v>
      </c>
      <c r="D220" s="1">
        <v>0.2</v>
      </c>
      <c r="E220" s="1">
        <v>0.3</v>
      </c>
      <c r="F220" s="1">
        <v>0.4</v>
      </c>
      <c r="G220" s="1">
        <v>0.5</v>
      </c>
      <c r="H220" s="1">
        <v>0.4</v>
      </c>
    </row>
    <row r="221">
      <c r="A221" s="1" t="s">
        <v>355</v>
      </c>
      <c r="B221" s="1" t="s">
        <v>945</v>
      </c>
      <c r="C221" s="1" t="s">
        <v>5281</v>
      </c>
      <c r="D221" s="1" t="s">
        <v>5282</v>
      </c>
      <c r="E221" s="1" t="s">
        <v>5283</v>
      </c>
      <c r="F221" s="1" t="s">
        <v>5240</v>
      </c>
      <c r="G221" s="1" t="s">
        <v>5241</v>
      </c>
      <c r="H221" s="1" t="s">
        <v>5282</v>
      </c>
    </row>
    <row r="222">
      <c r="A222" s="1" t="s">
        <v>355</v>
      </c>
      <c r="B222" s="1" t="s">
        <v>945</v>
      </c>
      <c r="C222" s="1" t="s">
        <v>5284</v>
      </c>
      <c r="D222" s="1" t="s">
        <v>5285</v>
      </c>
      <c r="E222" s="1" t="s">
        <v>5286</v>
      </c>
      <c r="F222" s="1" t="s">
        <v>5287</v>
      </c>
      <c r="G222" s="1" t="s">
        <v>22</v>
      </c>
      <c r="H222" s="1" t="s">
        <v>5285</v>
      </c>
    </row>
    <row r="223">
      <c r="A223" s="1" t="s">
        <v>355</v>
      </c>
      <c r="B223" s="1" t="s">
        <v>945</v>
      </c>
      <c r="C223" s="1" t="s">
        <v>5288</v>
      </c>
      <c r="D223" s="1" t="s">
        <v>4863</v>
      </c>
      <c r="E223" s="1" t="s">
        <v>220</v>
      </c>
      <c r="F223" s="1" t="s">
        <v>5289</v>
      </c>
      <c r="G223" s="1" t="s">
        <v>5290</v>
      </c>
      <c r="H223" s="1" t="s">
        <v>4863</v>
      </c>
    </row>
    <row r="224">
      <c r="A224" s="1" t="s">
        <v>355</v>
      </c>
      <c r="B224" s="1" t="s">
        <v>945</v>
      </c>
      <c r="C224" s="1" t="s">
        <v>5291</v>
      </c>
      <c r="D224" s="1">
        <v>1.0</v>
      </c>
      <c r="E224" s="1">
        <v>2.0</v>
      </c>
      <c r="F224" s="1">
        <v>3.0</v>
      </c>
      <c r="G224" s="1">
        <v>4.0</v>
      </c>
      <c r="H224" s="1">
        <v>4.0</v>
      </c>
    </row>
    <row r="225">
      <c r="A225" s="1" t="s">
        <v>355</v>
      </c>
      <c r="B225" s="1" t="s">
        <v>945</v>
      </c>
      <c r="C225" s="1" t="s">
        <v>5292</v>
      </c>
      <c r="D225" s="1" t="s">
        <v>5293</v>
      </c>
      <c r="E225" s="1" t="s">
        <v>5294</v>
      </c>
      <c r="F225" s="1" t="s">
        <v>5295</v>
      </c>
      <c r="G225" s="1" t="s">
        <v>5296</v>
      </c>
      <c r="H225" s="1" t="s">
        <v>5294</v>
      </c>
    </row>
    <row r="226">
      <c r="A226" s="1" t="s">
        <v>355</v>
      </c>
      <c r="B226" s="1" t="s">
        <v>945</v>
      </c>
      <c r="C226" s="1" t="s">
        <v>5297</v>
      </c>
      <c r="D226" s="1" t="s">
        <v>5293</v>
      </c>
      <c r="E226" s="1" t="s">
        <v>5296</v>
      </c>
      <c r="F226" s="1" t="s">
        <v>5298</v>
      </c>
      <c r="G226" s="1" t="s">
        <v>5294</v>
      </c>
      <c r="H226" s="1" t="s">
        <v>5296</v>
      </c>
    </row>
    <row r="227">
      <c r="A227" s="1" t="s">
        <v>355</v>
      </c>
      <c r="B227" s="1" t="s">
        <v>945</v>
      </c>
      <c r="C227" s="1" t="s">
        <v>5299</v>
      </c>
      <c r="D227" s="1" t="s">
        <v>4863</v>
      </c>
      <c r="E227" s="1" t="s">
        <v>220</v>
      </c>
      <c r="F227" s="1" t="s">
        <v>5300</v>
      </c>
      <c r="G227" s="1" t="s">
        <v>4866</v>
      </c>
      <c r="H227" s="1" t="s">
        <v>5301</v>
      </c>
    </row>
    <row r="228">
      <c r="A228" s="1" t="s">
        <v>355</v>
      </c>
      <c r="B228" s="1" t="s">
        <v>945</v>
      </c>
      <c r="C228" s="1" t="s">
        <v>5302</v>
      </c>
      <c r="D228" s="1" t="s">
        <v>5303</v>
      </c>
      <c r="E228" s="1" t="s">
        <v>5304</v>
      </c>
      <c r="F228" s="1" t="s">
        <v>5305</v>
      </c>
      <c r="G228" s="1" t="s">
        <v>5306</v>
      </c>
      <c r="H228" s="1" t="s">
        <v>5303</v>
      </c>
    </row>
    <row r="229">
      <c r="A229" s="1" t="s">
        <v>355</v>
      </c>
      <c r="B229" s="1" t="s">
        <v>945</v>
      </c>
      <c r="C229" s="1" t="s">
        <v>5307</v>
      </c>
      <c r="D229" s="1" t="s">
        <v>5308</v>
      </c>
      <c r="E229" s="1" t="s">
        <v>4968</v>
      </c>
      <c r="F229" s="1" t="s">
        <v>4987</v>
      </c>
      <c r="G229" s="1" t="s">
        <v>4930</v>
      </c>
      <c r="H229" s="1" t="s">
        <v>5308</v>
      </c>
    </row>
    <row r="230">
      <c r="A230" s="1" t="s">
        <v>355</v>
      </c>
      <c r="B230" s="1" t="s">
        <v>945</v>
      </c>
      <c r="C230" s="1" t="s">
        <v>5309</v>
      </c>
      <c r="D230" s="1">
        <v>5.0</v>
      </c>
      <c r="E230" s="1">
        <v>10.0</v>
      </c>
      <c r="F230" s="1">
        <v>15.0</v>
      </c>
      <c r="G230" s="1">
        <v>20.0</v>
      </c>
      <c r="H230" s="1">
        <v>10.0</v>
      </c>
    </row>
    <row r="231">
      <c r="A231" s="1" t="s">
        <v>355</v>
      </c>
      <c r="B231" s="1" t="s">
        <v>945</v>
      </c>
      <c r="C231" s="1" t="s">
        <v>5310</v>
      </c>
      <c r="D231" s="1" t="s">
        <v>4863</v>
      </c>
      <c r="E231" s="1" t="s">
        <v>220</v>
      </c>
      <c r="F231" s="1" t="s">
        <v>4864</v>
      </c>
      <c r="G231" s="1" t="s">
        <v>4909</v>
      </c>
      <c r="H231" s="1" t="s">
        <v>4863</v>
      </c>
    </row>
    <row r="232">
      <c r="A232" s="1" t="s">
        <v>355</v>
      </c>
      <c r="B232" s="1" t="s">
        <v>945</v>
      </c>
      <c r="C232" s="1" t="s">
        <v>5311</v>
      </c>
      <c r="D232" s="1" t="s">
        <v>5312</v>
      </c>
      <c r="E232" s="1" t="s">
        <v>5313</v>
      </c>
      <c r="F232" s="1" t="s">
        <v>5314</v>
      </c>
      <c r="G232" s="1" t="s">
        <v>22</v>
      </c>
      <c r="H232" s="1" t="s">
        <v>5312</v>
      </c>
    </row>
    <row r="233">
      <c r="A233" s="1" t="s">
        <v>355</v>
      </c>
      <c r="B233" s="1" t="s">
        <v>945</v>
      </c>
      <c r="C233" s="1" t="s">
        <v>5315</v>
      </c>
      <c r="D233" s="1">
        <v>4.0</v>
      </c>
      <c r="E233" s="1">
        <v>8.0</v>
      </c>
      <c r="F233" s="1">
        <v>16.0</v>
      </c>
      <c r="G233" s="1">
        <v>2.0</v>
      </c>
      <c r="H233" s="1">
        <v>8.0</v>
      </c>
    </row>
    <row r="234">
      <c r="A234" s="1" t="s">
        <v>355</v>
      </c>
      <c r="B234" s="1" t="s">
        <v>945</v>
      </c>
      <c r="C234" s="1" t="s">
        <v>5316</v>
      </c>
      <c r="D234" s="1">
        <v>2.0</v>
      </c>
      <c r="E234" s="1">
        <v>2.828</v>
      </c>
      <c r="F234" s="1">
        <v>4.0</v>
      </c>
      <c r="G234" s="1">
        <v>8.0</v>
      </c>
      <c r="H234" s="1">
        <v>2.828</v>
      </c>
    </row>
    <row r="235">
      <c r="A235" s="1" t="s">
        <v>355</v>
      </c>
      <c r="B235" s="1" t="s">
        <v>945</v>
      </c>
      <c r="C235" s="1" t="s">
        <v>5317</v>
      </c>
      <c r="D235" s="1" t="s">
        <v>5318</v>
      </c>
      <c r="E235" s="1" t="s">
        <v>5319</v>
      </c>
      <c r="F235" s="1" t="s">
        <v>5320</v>
      </c>
      <c r="G235" s="1" t="s">
        <v>5321</v>
      </c>
      <c r="H235" s="1" t="s">
        <v>5322</v>
      </c>
    </row>
    <row r="236">
      <c r="A236" s="1" t="s">
        <v>355</v>
      </c>
      <c r="B236" s="1" t="s">
        <v>945</v>
      </c>
      <c r="C236" s="1" t="s">
        <v>5323</v>
      </c>
      <c r="D236" s="1" t="s">
        <v>4994</v>
      </c>
      <c r="E236" s="1" t="s">
        <v>5324</v>
      </c>
      <c r="F236" s="1" t="s">
        <v>5325</v>
      </c>
      <c r="G236" s="1" t="s">
        <v>4965</v>
      </c>
      <c r="H236" s="1" t="s">
        <v>5324</v>
      </c>
    </row>
    <row r="237">
      <c r="A237" s="1" t="s">
        <v>355</v>
      </c>
      <c r="B237" s="1" t="s">
        <v>945</v>
      </c>
      <c r="C237" s="1" t="s">
        <v>5326</v>
      </c>
      <c r="D237" s="1" t="s">
        <v>4994</v>
      </c>
      <c r="E237" s="1" t="s">
        <v>4996</v>
      </c>
      <c r="F237" s="1" t="s">
        <v>5327</v>
      </c>
      <c r="G237" s="1" t="s">
        <v>4965</v>
      </c>
      <c r="H237" s="1" t="s">
        <v>5327</v>
      </c>
    </row>
    <row r="238">
      <c r="A238" s="1" t="s">
        <v>355</v>
      </c>
      <c r="B238" s="1" t="s">
        <v>945</v>
      </c>
      <c r="C238" s="1" t="s">
        <v>5328</v>
      </c>
      <c r="D238" s="1">
        <v>13.0</v>
      </c>
      <c r="E238" s="1">
        <v>14.0</v>
      </c>
      <c r="F238" s="1">
        <v>18.0</v>
      </c>
      <c r="G238" s="1">
        <v>21.0</v>
      </c>
      <c r="H238" s="1">
        <v>13.0</v>
      </c>
    </row>
    <row r="239">
      <c r="A239" s="1" t="s">
        <v>355</v>
      </c>
      <c r="B239" s="1" t="s">
        <v>945</v>
      </c>
      <c r="C239" s="1" t="s">
        <v>5329</v>
      </c>
      <c r="D239" s="1" t="s">
        <v>5330</v>
      </c>
      <c r="E239" s="1" t="s">
        <v>5331</v>
      </c>
      <c r="F239" s="1" t="s">
        <v>5332</v>
      </c>
      <c r="G239" s="1" t="s">
        <v>5333</v>
      </c>
      <c r="H239" s="1" t="s">
        <v>5331</v>
      </c>
    </row>
    <row r="240">
      <c r="A240" s="1" t="s">
        <v>355</v>
      </c>
      <c r="B240" s="1" t="s">
        <v>945</v>
      </c>
      <c r="C240" s="1" t="s">
        <v>5334</v>
      </c>
      <c r="D240" s="1" t="s">
        <v>5335</v>
      </c>
      <c r="E240" s="1" t="s">
        <v>5336</v>
      </c>
      <c r="F240" s="1" t="s">
        <v>4930</v>
      </c>
      <c r="G240" s="1" t="s">
        <v>4994</v>
      </c>
      <c r="H240" s="1" t="s">
        <v>5335</v>
      </c>
    </row>
    <row r="241">
      <c r="A241" s="1" t="s">
        <v>355</v>
      </c>
      <c r="B241" s="1" t="s">
        <v>945</v>
      </c>
      <c r="C241" s="1" t="s">
        <v>5337</v>
      </c>
      <c r="D241" s="1" t="s">
        <v>5338</v>
      </c>
      <c r="E241" s="1" t="s">
        <v>5339</v>
      </c>
      <c r="F241" s="1" t="s">
        <v>5340</v>
      </c>
      <c r="G241" s="1" t="s">
        <v>22</v>
      </c>
      <c r="H241" s="1" t="s">
        <v>5341</v>
      </c>
    </row>
    <row r="242">
      <c r="A242" s="1" t="s">
        <v>355</v>
      </c>
      <c r="B242" s="1" t="s">
        <v>945</v>
      </c>
      <c r="C242" s="1" t="s">
        <v>5342</v>
      </c>
      <c r="D242" s="1" t="s">
        <v>5343</v>
      </c>
      <c r="E242" s="1" t="s">
        <v>5339</v>
      </c>
      <c r="F242" s="1" t="s">
        <v>5340</v>
      </c>
      <c r="G242" s="1" t="s">
        <v>22</v>
      </c>
      <c r="H242" s="1" t="s">
        <v>5339</v>
      </c>
    </row>
    <row r="243">
      <c r="A243" s="1" t="s">
        <v>355</v>
      </c>
      <c r="B243" s="1" t="s">
        <v>945</v>
      </c>
      <c r="C243" s="1" t="s">
        <v>5344</v>
      </c>
      <c r="D243" s="1" t="s">
        <v>5345</v>
      </c>
      <c r="E243" s="1" t="s">
        <v>5012</v>
      </c>
      <c r="F243" s="1" t="s">
        <v>5013</v>
      </c>
      <c r="G243" s="1" t="s">
        <v>5346</v>
      </c>
      <c r="H243" s="1" t="s">
        <v>5345</v>
      </c>
    </row>
    <row r="244">
      <c r="A244" s="1" t="s">
        <v>355</v>
      </c>
      <c r="B244" s="1" t="s">
        <v>945</v>
      </c>
      <c r="C244" s="1" t="s">
        <v>5347</v>
      </c>
      <c r="D244" s="1" t="s">
        <v>220</v>
      </c>
      <c r="E244" s="1" t="s">
        <v>5348</v>
      </c>
      <c r="F244" s="1" t="s">
        <v>5290</v>
      </c>
      <c r="G244" s="1" t="s">
        <v>5349</v>
      </c>
      <c r="H244" s="1" t="s">
        <v>5348</v>
      </c>
    </row>
    <row r="245">
      <c r="A245" s="1" t="s">
        <v>355</v>
      </c>
      <c r="B245" s="1" t="s">
        <v>945</v>
      </c>
      <c r="C245" s="1" t="s">
        <v>5350</v>
      </c>
      <c r="D245" s="1" t="s">
        <v>4863</v>
      </c>
      <c r="E245" s="1" t="s">
        <v>220</v>
      </c>
      <c r="F245" s="1" t="s">
        <v>4864</v>
      </c>
      <c r="G245" s="1" t="s">
        <v>5351</v>
      </c>
      <c r="H245" s="1" t="s">
        <v>220</v>
      </c>
    </row>
    <row r="246">
      <c r="A246" s="1" t="s">
        <v>355</v>
      </c>
      <c r="B246" s="1" t="s">
        <v>945</v>
      </c>
      <c r="C246" s="1" t="s">
        <v>5352</v>
      </c>
      <c r="D246" s="1" t="s">
        <v>5289</v>
      </c>
      <c r="E246" s="1" t="s">
        <v>5353</v>
      </c>
      <c r="F246" s="1" t="s">
        <v>5349</v>
      </c>
      <c r="G246" s="1" t="s">
        <v>220</v>
      </c>
      <c r="H246" s="1" t="s">
        <v>5353</v>
      </c>
    </row>
    <row r="247">
      <c r="A247" s="1" t="s">
        <v>355</v>
      </c>
      <c r="B247" s="1" t="s">
        <v>945</v>
      </c>
      <c r="C247" s="1" t="s">
        <v>5354</v>
      </c>
      <c r="D247" s="1" t="s">
        <v>5289</v>
      </c>
      <c r="E247" s="1" t="s">
        <v>5290</v>
      </c>
      <c r="F247" s="1" t="s">
        <v>5355</v>
      </c>
      <c r="G247" s="1" t="s">
        <v>220</v>
      </c>
      <c r="H247" s="1" t="s">
        <v>5355</v>
      </c>
    </row>
    <row r="248">
      <c r="A248" s="1" t="s">
        <v>355</v>
      </c>
      <c r="B248" s="1" t="s">
        <v>945</v>
      </c>
      <c r="C248" s="1" t="s">
        <v>5356</v>
      </c>
      <c r="D248" s="1" t="s">
        <v>4863</v>
      </c>
      <c r="E248" s="1" t="s">
        <v>220</v>
      </c>
      <c r="F248" s="1" t="s">
        <v>4864</v>
      </c>
      <c r="G248" s="1" t="s">
        <v>5357</v>
      </c>
      <c r="H248" s="1" t="s">
        <v>220</v>
      </c>
    </row>
    <row r="249">
      <c r="A249" s="1" t="s">
        <v>355</v>
      </c>
      <c r="B249" s="1" t="s">
        <v>945</v>
      </c>
      <c r="C249" s="1" t="s">
        <v>5358</v>
      </c>
      <c r="D249" s="1" t="s">
        <v>4863</v>
      </c>
      <c r="E249" s="1" t="s">
        <v>5359</v>
      </c>
      <c r="F249" s="1" t="s">
        <v>4864</v>
      </c>
      <c r="G249" s="1" t="s">
        <v>4866</v>
      </c>
      <c r="H249" s="1" t="s">
        <v>5360</v>
      </c>
    </row>
    <row r="250">
      <c r="A250" s="1" t="s">
        <v>355</v>
      </c>
      <c r="B250" s="1" t="s">
        <v>945</v>
      </c>
      <c r="C250" s="1" t="s">
        <v>5361</v>
      </c>
      <c r="D250" s="1" t="s">
        <v>2583</v>
      </c>
      <c r="E250" s="1" t="s">
        <v>2182</v>
      </c>
      <c r="F250" s="1" t="s">
        <v>881</v>
      </c>
      <c r="G250" s="1">
        <v>1.0</v>
      </c>
      <c r="H250" s="1" t="s">
        <v>881</v>
      </c>
    </row>
    <row r="251">
      <c r="A251" s="1" t="s">
        <v>355</v>
      </c>
      <c r="B251" s="1" t="s">
        <v>945</v>
      </c>
      <c r="C251" s="1" t="s">
        <v>5362</v>
      </c>
      <c r="D251" s="1">
        <v>0.0</v>
      </c>
      <c r="E251" s="1">
        <v>5.0</v>
      </c>
      <c r="F251" s="1">
        <v>10.0</v>
      </c>
      <c r="G251" s="1">
        <v>15.0</v>
      </c>
      <c r="H251" s="1">
        <v>5.0</v>
      </c>
    </row>
    <row r="252">
      <c r="A252" s="1" t="s">
        <v>355</v>
      </c>
      <c r="B252" s="1" t="s">
        <v>945</v>
      </c>
      <c r="C252" s="1" t="s">
        <v>5363</v>
      </c>
      <c r="D252" s="1">
        <v>20.0</v>
      </c>
      <c r="E252" s="1">
        <v>30.0</v>
      </c>
      <c r="F252" s="1">
        <v>50.0</v>
      </c>
      <c r="G252" s="1">
        <v>10.0</v>
      </c>
      <c r="H252" s="1" t="s">
        <v>5364</v>
      </c>
    </row>
    <row r="253">
      <c r="A253" s="1" t="s">
        <v>355</v>
      </c>
      <c r="B253" s="1" t="s">
        <v>945</v>
      </c>
      <c r="C253" s="1" t="s">
        <v>5365</v>
      </c>
      <c r="D253" s="1">
        <v>10.0</v>
      </c>
      <c r="E253" s="1">
        <v>20.0</v>
      </c>
      <c r="F253" s="1">
        <v>15.0</v>
      </c>
      <c r="G253" s="1">
        <v>5.0</v>
      </c>
      <c r="H253" s="1">
        <v>10.0</v>
      </c>
    </row>
    <row r="254">
      <c r="A254" s="1" t="s">
        <v>355</v>
      </c>
      <c r="B254" s="1" t="s">
        <v>945</v>
      </c>
      <c r="C254" s="1" t="s">
        <v>5366</v>
      </c>
      <c r="D254" s="1" t="s">
        <v>4863</v>
      </c>
      <c r="E254" s="1" t="s">
        <v>220</v>
      </c>
      <c r="F254" s="1" t="s">
        <v>4864</v>
      </c>
      <c r="G254" s="1" t="s">
        <v>4909</v>
      </c>
      <c r="H254" s="1" t="s">
        <v>5367</v>
      </c>
    </row>
    <row r="255">
      <c r="A255" s="1" t="s">
        <v>355</v>
      </c>
      <c r="B255" s="1" t="s">
        <v>945</v>
      </c>
      <c r="C255" s="1" t="s">
        <v>5368</v>
      </c>
      <c r="D255" s="1">
        <v>1.0</v>
      </c>
      <c r="E255" s="1">
        <v>10.0</v>
      </c>
      <c r="F255" s="1">
        <v>0.1</v>
      </c>
      <c r="G255" s="1">
        <v>100.0</v>
      </c>
      <c r="H255" s="1">
        <v>1.0</v>
      </c>
    </row>
    <row r="256">
      <c r="A256" s="1" t="s">
        <v>355</v>
      </c>
      <c r="B256" s="1" t="s">
        <v>945</v>
      </c>
      <c r="C256" s="1" t="s">
        <v>5369</v>
      </c>
      <c r="D256" s="1" t="s">
        <v>5370</v>
      </c>
      <c r="E256" s="1" t="s">
        <v>5371</v>
      </c>
      <c r="F256" s="1" t="s">
        <v>5372</v>
      </c>
      <c r="G256" s="1" t="s">
        <v>22</v>
      </c>
      <c r="H256" s="1" t="s">
        <v>5371</v>
      </c>
    </row>
    <row r="257">
      <c r="A257" s="1" t="s">
        <v>355</v>
      </c>
      <c r="B257" s="1" t="s">
        <v>945</v>
      </c>
      <c r="C257" s="1" t="s">
        <v>5373</v>
      </c>
      <c r="D257" s="1" t="s">
        <v>5374</v>
      </c>
      <c r="E257" s="1" t="s">
        <v>5375</v>
      </c>
      <c r="F257" s="1" t="s">
        <v>5376</v>
      </c>
      <c r="G257" s="1" t="s">
        <v>5377</v>
      </c>
      <c r="H257" s="1" t="s">
        <v>5374</v>
      </c>
    </row>
    <row r="258">
      <c r="A258" s="1" t="s">
        <v>355</v>
      </c>
      <c r="B258" s="1" t="s">
        <v>945</v>
      </c>
      <c r="C258" s="1" t="s">
        <v>5378</v>
      </c>
      <c r="D258" s="1" t="s">
        <v>1234</v>
      </c>
      <c r="E258" s="1" t="s">
        <v>1975</v>
      </c>
      <c r="F258" s="1" t="s">
        <v>881</v>
      </c>
      <c r="G258" s="1">
        <v>1.0</v>
      </c>
      <c r="H258" s="1" t="s">
        <v>1234</v>
      </c>
    </row>
    <row r="259">
      <c r="A259" s="1" t="s">
        <v>355</v>
      </c>
      <c r="B259" s="1" t="s">
        <v>945</v>
      </c>
      <c r="C259" s="1" t="s">
        <v>5379</v>
      </c>
      <c r="D259" s="1" t="s">
        <v>5380</v>
      </c>
      <c r="E259" s="1" t="s">
        <v>5381</v>
      </c>
      <c r="F259" s="1" t="s">
        <v>5382</v>
      </c>
      <c r="G259" s="1" t="s">
        <v>22</v>
      </c>
      <c r="H259" s="1" t="s">
        <v>5381</v>
      </c>
    </row>
    <row r="260">
      <c r="A260" s="1" t="s">
        <v>355</v>
      </c>
      <c r="B260" s="1" t="s">
        <v>945</v>
      </c>
      <c r="C260" s="1" t="s">
        <v>5383</v>
      </c>
      <c r="D260" s="1" t="s">
        <v>5384</v>
      </c>
      <c r="E260" s="1" t="s">
        <v>5385</v>
      </c>
      <c r="F260" s="1" t="s">
        <v>5386</v>
      </c>
      <c r="G260" s="1" t="s">
        <v>5148</v>
      </c>
      <c r="H260" s="1" t="s">
        <v>5384</v>
      </c>
    </row>
    <row r="261">
      <c r="A261" s="1" t="s">
        <v>355</v>
      </c>
      <c r="B261" s="1" t="s">
        <v>945</v>
      </c>
      <c r="C261" s="1" t="s">
        <v>5387</v>
      </c>
      <c r="D261" s="1" t="s">
        <v>5388</v>
      </c>
      <c r="E261" s="1" t="s">
        <v>5389</v>
      </c>
      <c r="F261" s="1" t="s">
        <v>5390</v>
      </c>
      <c r="G261" s="1" t="s">
        <v>5391</v>
      </c>
      <c r="H261" s="1" t="s">
        <v>5388</v>
      </c>
    </row>
    <row r="262">
      <c r="A262" s="1" t="s">
        <v>355</v>
      </c>
      <c r="B262" s="1" t="s">
        <v>945</v>
      </c>
      <c r="C262" s="1" t="s">
        <v>5392</v>
      </c>
      <c r="D262" s="1" t="s">
        <v>5393</v>
      </c>
      <c r="E262" s="1" t="s">
        <v>5394</v>
      </c>
      <c r="F262" s="1" t="s">
        <v>5395</v>
      </c>
      <c r="G262" s="1" t="s">
        <v>5396</v>
      </c>
      <c r="H262" s="1" t="s">
        <v>5395</v>
      </c>
    </row>
    <row r="263">
      <c r="A263" s="1" t="s">
        <v>355</v>
      </c>
      <c r="B263" s="1" t="s">
        <v>945</v>
      </c>
      <c r="C263" s="1" t="s">
        <v>5397</v>
      </c>
      <c r="D263" s="1" t="s">
        <v>4863</v>
      </c>
      <c r="E263" s="1" t="s">
        <v>220</v>
      </c>
      <c r="F263" s="1" t="s">
        <v>4864</v>
      </c>
      <c r="G263" s="1" t="s">
        <v>837</v>
      </c>
      <c r="H263" s="1" t="s">
        <v>5398</v>
      </c>
    </row>
    <row r="264">
      <c r="A264" s="1" t="s">
        <v>355</v>
      </c>
      <c r="B264" s="1" t="s">
        <v>945</v>
      </c>
      <c r="C264" s="1" t="s">
        <v>5399</v>
      </c>
      <c r="D264" s="1" t="s">
        <v>5400</v>
      </c>
      <c r="E264" s="1" t="s">
        <v>5401</v>
      </c>
      <c r="F264" s="1" t="s">
        <v>5402</v>
      </c>
      <c r="G264" s="1" t="s">
        <v>22</v>
      </c>
      <c r="H264" s="1" t="s">
        <v>5401</v>
      </c>
    </row>
    <row r="265">
      <c r="A265" s="1" t="s">
        <v>355</v>
      </c>
      <c r="B265" s="1" t="s">
        <v>945</v>
      </c>
      <c r="C265" s="1" t="s">
        <v>5403</v>
      </c>
      <c r="D265" s="1" t="s">
        <v>5404</v>
      </c>
      <c r="E265" s="1" t="s">
        <v>5405</v>
      </c>
      <c r="F265" s="1" t="s">
        <v>5406</v>
      </c>
      <c r="G265" s="1" t="s">
        <v>5407</v>
      </c>
      <c r="H265" s="1" t="s">
        <v>5406</v>
      </c>
    </row>
    <row r="266">
      <c r="A266" s="1" t="s">
        <v>355</v>
      </c>
      <c r="B266" s="1" t="s">
        <v>945</v>
      </c>
      <c r="C266" s="1" t="s">
        <v>5408</v>
      </c>
      <c r="D266" s="1">
        <v>2.0</v>
      </c>
      <c r="E266" s="1">
        <v>2.33</v>
      </c>
      <c r="F266" s="1">
        <v>1.8</v>
      </c>
      <c r="G266" s="1">
        <v>3.0</v>
      </c>
      <c r="H266" s="1">
        <v>2.0</v>
      </c>
    </row>
    <row r="267">
      <c r="A267" s="1" t="s">
        <v>355</v>
      </c>
      <c r="B267" s="1" t="s">
        <v>945</v>
      </c>
      <c r="C267" s="1" t="s">
        <v>5409</v>
      </c>
      <c r="D267" s="1">
        <v>3.43</v>
      </c>
      <c r="E267" s="1">
        <v>4.0</v>
      </c>
      <c r="F267" s="1">
        <v>4.66</v>
      </c>
      <c r="G267" s="1">
        <v>2.0</v>
      </c>
      <c r="H267" s="1">
        <v>3.43</v>
      </c>
    </row>
    <row r="268">
      <c r="A268" s="1" t="s">
        <v>355</v>
      </c>
      <c r="B268" s="1" t="s">
        <v>945</v>
      </c>
      <c r="C268" s="1" t="s">
        <v>5410</v>
      </c>
      <c r="D268" s="1">
        <v>4.0</v>
      </c>
      <c r="E268" s="1">
        <v>5.0</v>
      </c>
      <c r="F268" s="1">
        <v>3.0</v>
      </c>
      <c r="G268" s="1">
        <v>2.0</v>
      </c>
      <c r="H268" s="1" t="s">
        <v>5411</v>
      </c>
    </row>
    <row r="269">
      <c r="A269" s="1" t="s">
        <v>355</v>
      </c>
      <c r="B269" s="1" t="s">
        <v>945</v>
      </c>
      <c r="C269" s="1" t="s">
        <v>5412</v>
      </c>
      <c r="D269" s="1" t="s">
        <v>4863</v>
      </c>
      <c r="E269" s="1" t="s">
        <v>4930</v>
      </c>
      <c r="F269" s="1" t="s">
        <v>5336</v>
      </c>
      <c r="G269" s="1" t="s">
        <v>4909</v>
      </c>
      <c r="H269" s="1" t="s">
        <v>4930</v>
      </c>
    </row>
    <row r="270">
      <c r="A270" s="1" t="s">
        <v>355</v>
      </c>
      <c r="B270" s="1" t="s">
        <v>945</v>
      </c>
      <c r="C270" s="12" t="s">
        <v>5413</v>
      </c>
      <c r="D270" s="1" t="s">
        <v>5414</v>
      </c>
      <c r="E270" s="1" t="s">
        <v>5415</v>
      </c>
      <c r="F270" s="1" t="s">
        <v>5416</v>
      </c>
      <c r="G270" s="1" t="s">
        <v>5417</v>
      </c>
      <c r="H270" s="1" t="s">
        <v>5415</v>
      </c>
    </row>
    <row r="271">
      <c r="A271" s="1" t="s">
        <v>355</v>
      </c>
      <c r="B271" s="1" t="s">
        <v>945</v>
      </c>
      <c r="C271" s="12" t="s">
        <v>5418</v>
      </c>
      <c r="D271" s="1" t="s">
        <v>5414</v>
      </c>
      <c r="E271" s="1" t="s">
        <v>5415</v>
      </c>
      <c r="F271" s="1" t="s">
        <v>5419</v>
      </c>
      <c r="G271" s="1" t="s">
        <v>5416</v>
      </c>
      <c r="H271" s="1" t="s">
        <v>5415</v>
      </c>
    </row>
    <row r="272">
      <c r="A272" s="1" t="s">
        <v>355</v>
      </c>
      <c r="B272" s="1" t="s">
        <v>945</v>
      </c>
      <c r="C272" s="1" t="s">
        <v>5420</v>
      </c>
      <c r="D272" s="1">
        <v>0.0</v>
      </c>
      <c r="E272" s="1" t="s">
        <v>417</v>
      </c>
      <c r="F272" s="1" t="s">
        <v>5421</v>
      </c>
      <c r="G272" s="1">
        <v>10.0</v>
      </c>
      <c r="H272" s="1" t="s">
        <v>5421</v>
      </c>
    </row>
    <row r="273">
      <c r="A273" s="1" t="s">
        <v>355</v>
      </c>
      <c r="B273" s="1" t="s">
        <v>945</v>
      </c>
      <c r="C273" s="1" t="s">
        <v>5422</v>
      </c>
      <c r="D273" s="1" t="s">
        <v>4930</v>
      </c>
      <c r="E273" s="1" t="s">
        <v>5325</v>
      </c>
      <c r="F273" s="1" t="s">
        <v>5336</v>
      </c>
      <c r="G273" s="1" t="s">
        <v>4994</v>
      </c>
      <c r="H273" s="1" t="s">
        <v>5325</v>
      </c>
    </row>
    <row r="274">
      <c r="A274" s="1" t="s">
        <v>355</v>
      </c>
      <c r="B274" s="1" t="s">
        <v>945</v>
      </c>
      <c r="C274" s="1" t="s">
        <v>5423</v>
      </c>
      <c r="D274" s="1">
        <v>3.0</v>
      </c>
      <c r="E274" s="1">
        <v>9.0</v>
      </c>
      <c r="F274" s="1">
        <v>81.0</v>
      </c>
      <c r="G274" s="1" t="s">
        <v>1264</v>
      </c>
      <c r="H274" s="1" t="s">
        <v>5424</v>
      </c>
    </row>
    <row r="275">
      <c r="A275" s="1" t="s">
        <v>355</v>
      </c>
      <c r="B275" s="1" t="s">
        <v>945</v>
      </c>
      <c r="C275" s="1" t="s">
        <v>5425</v>
      </c>
      <c r="D275" s="1" t="s">
        <v>1929</v>
      </c>
      <c r="E275" s="1" t="s">
        <v>1927</v>
      </c>
      <c r="F275" s="1" t="s">
        <v>1971</v>
      </c>
      <c r="G275" s="1" t="s">
        <v>2273</v>
      </c>
      <c r="H275" s="1" t="s">
        <v>1927</v>
      </c>
    </row>
    <row r="276">
      <c r="A276" s="1" t="s">
        <v>355</v>
      </c>
      <c r="B276" s="1" t="s">
        <v>945</v>
      </c>
      <c r="C276" s="1" t="s">
        <v>5426</v>
      </c>
      <c r="D276" s="1" t="s">
        <v>5427</v>
      </c>
      <c r="E276" s="1" t="s">
        <v>5428</v>
      </c>
      <c r="F276" s="1" t="s">
        <v>5429</v>
      </c>
      <c r="G276" s="1" t="s">
        <v>5430</v>
      </c>
      <c r="H276" s="1" t="s">
        <v>5427</v>
      </c>
    </row>
    <row r="277">
      <c r="A277" s="1" t="s">
        <v>355</v>
      </c>
      <c r="B277" s="1" t="s">
        <v>945</v>
      </c>
      <c r="C277" s="1" t="s">
        <v>5431</v>
      </c>
      <c r="D277" s="1" t="s">
        <v>5432</v>
      </c>
      <c r="E277" s="1" t="s">
        <v>5433</v>
      </c>
      <c r="F277" s="1" t="s">
        <v>5293</v>
      </c>
      <c r="G277" s="1" t="s">
        <v>5434</v>
      </c>
      <c r="H277" s="1" t="s">
        <v>5433</v>
      </c>
    </row>
    <row r="278">
      <c r="A278" s="1" t="s">
        <v>355</v>
      </c>
      <c r="B278" s="1" t="s">
        <v>945</v>
      </c>
      <c r="C278" s="1" t="s">
        <v>5435</v>
      </c>
      <c r="D278" s="1" t="s">
        <v>5432</v>
      </c>
      <c r="E278" s="1" t="s">
        <v>5433</v>
      </c>
      <c r="F278" s="1" t="s">
        <v>5293</v>
      </c>
      <c r="G278" s="1" t="s">
        <v>5434</v>
      </c>
      <c r="H278" s="1" t="s">
        <v>5293</v>
      </c>
    </row>
    <row r="279">
      <c r="A279" s="1" t="s">
        <v>355</v>
      </c>
      <c r="B279" s="1" t="s">
        <v>945</v>
      </c>
      <c r="C279" s="1" t="s">
        <v>5436</v>
      </c>
      <c r="D279" s="1" t="s">
        <v>5437</v>
      </c>
      <c r="E279" s="1" t="s">
        <v>5438</v>
      </c>
      <c r="F279" s="1" t="s">
        <v>5439</v>
      </c>
      <c r="G279" s="1" t="s">
        <v>5440</v>
      </c>
      <c r="H279" s="1" t="s">
        <v>5439</v>
      </c>
    </row>
    <row r="280">
      <c r="A280" s="1" t="s">
        <v>355</v>
      </c>
      <c r="B280" s="1" t="s">
        <v>945</v>
      </c>
      <c r="C280" s="1" t="s">
        <v>5441</v>
      </c>
      <c r="D280" s="1" t="s">
        <v>5442</v>
      </c>
      <c r="E280" s="1" t="s">
        <v>5443</v>
      </c>
      <c r="F280" s="1" t="s">
        <v>5444</v>
      </c>
      <c r="G280" s="1" t="s">
        <v>5445</v>
      </c>
      <c r="H280" s="1" t="s">
        <v>5444</v>
      </c>
    </row>
    <row r="281">
      <c r="A281" s="1" t="s">
        <v>355</v>
      </c>
      <c r="B281" s="1" t="s">
        <v>945</v>
      </c>
      <c r="C281" s="1" t="s">
        <v>5446</v>
      </c>
      <c r="D281" s="1" t="s">
        <v>5442</v>
      </c>
      <c r="E281" s="1" t="s">
        <v>5443</v>
      </c>
      <c r="F281" s="1" t="s">
        <v>881</v>
      </c>
      <c r="G281" s="1" t="s">
        <v>2139</v>
      </c>
      <c r="H281" s="1" t="s">
        <v>5442</v>
      </c>
    </row>
    <row r="282">
      <c r="A282" s="1" t="s">
        <v>355</v>
      </c>
      <c r="B282" s="1" t="s">
        <v>945</v>
      </c>
      <c r="C282" s="1" t="s">
        <v>5447</v>
      </c>
      <c r="D282" s="1" t="s">
        <v>1003</v>
      </c>
      <c r="E282" s="1" t="s">
        <v>5448</v>
      </c>
      <c r="F282" s="1" t="s">
        <v>5449</v>
      </c>
      <c r="G282" s="1" t="s">
        <v>2339</v>
      </c>
      <c r="H282" s="1" t="s">
        <v>5450</v>
      </c>
    </row>
    <row r="283">
      <c r="A283" s="1" t="s">
        <v>355</v>
      </c>
      <c r="B283" s="1" t="s">
        <v>945</v>
      </c>
      <c r="C283" s="1" t="s">
        <v>5451</v>
      </c>
      <c r="D283" s="1" t="s">
        <v>5452</v>
      </c>
      <c r="E283" s="1" t="s">
        <v>5453</v>
      </c>
      <c r="F283" s="1" t="s">
        <v>99</v>
      </c>
      <c r="G283" s="1" t="s">
        <v>837</v>
      </c>
      <c r="H283" s="1" t="s">
        <v>5453</v>
      </c>
    </row>
    <row r="284">
      <c r="A284" s="1" t="s">
        <v>355</v>
      </c>
      <c r="B284" s="1" t="s">
        <v>945</v>
      </c>
      <c r="C284" s="1" t="s">
        <v>5454</v>
      </c>
      <c r="D284" s="1">
        <v>0.0</v>
      </c>
      <c r="E284" s="1">
        <v>1.0</v>
      </c>
      <c r="F284" s="1">
        <v>100.0</v>
      </c>
      <c r="G284" s="1">
        <v>1000.0</v>
      </c>
      <c r="H284" s="1">
        <v>100.0</v>
      </c>
    </row>
    <row r="285">
      <c r="A285" s="1" t="s">
        <v>355</v>
      </c>
      <c r="B285" s="1" t="s">
        <v>945</v>
      </c>
      <c r="C285" s="1" t="s">
        <v>5455</v>
      </c>
      <c r="D285" s="1" t="s">
        <v>5456</v>
      </c>
      <c r="E285" s="1" t="s">
        <v>5457</v>
      </c>
      <c r="F285" s="1" t="s">
        <v>5458</v>
      </c>
      <c r="G285" s="1" t="s">
        <v>837</v>
      </c>
      <c r="H285" s="1" t="s">
        <v>5456</v>
      </c>
    </row>
    <row r="286">
      <c r="A286" s="1" t="s">
        <v>355</v>
      </c>
      <c r="B286" s="1" t="s">
        <v>945</v>
      </c>
      <c r="C286" s="1" t="s">
        <v>5459</v>
      </c>
      <c r="D286" s="1" t="s">
        <v>5456</v>
      </c>
      <c r="E286" s="1" t="s">
        <v>5457</v>
      </c>
      <c r="F286" s="1" t="s">
        <v>5458</v>
      </c>
      <c r="G286" s="1" t="s">
        <v>837</v>
      </c>
      <c r="H286" s="1" t="s">
        <v>5457</v>
      </c>
    </row>
    <row r="287">
      <c r="A287" s="1" t="s">
        <v>355</v>
      </c>
      <c r="B287" s="1" t="s">
        <v>945</v>
      </c>
      <c r="C287" s="1" t="s">
        <v>5460</v>
      </c>
      <c r="D287" s="1" t="s">
        <v>5461</v>
      </c>
      <c r="E287" s="1" t="s">
        <v>5462</v>
      </c>
      <c r="F287" s="1" t="s">
        <v>5463</v>
      </c>
      <c r="G287" s="1" t="s">
        <v>837</v>
      </c>
      <c r="H287" s="1" t="s">
        <v>5461</v>
      </c>
    </row>
    <row r="288">
      <c r="A288" s="1" t="s">
        <v>355</v>
      </c>
      <c r="B288" s="1" t="s">
        <v>945</v>
      </c>
      <c r="C288" s="1" t="s">
        <v>5464</v>
      </c>
      <c r="D288" s="1">
        <v>2.0</v>
      </c>
      <c r="E288" s="1">
        <v>3.0</v>
      </c>
      <c r="F288" s="1">
        <v>4.0</v>
      </c>
      <c r="G288" s="1">
        <v>5.0</v>
      </c>
      <c r="H288" s="1" t="s">
        <v>5465</v>
      </c>
    </row>
    <row r="289">
      <c r="A289" s="1" t="s">
        <v>355</v>
      </c>
      <c r="B289" s="1" t="s">
        <v>945</v>
      </c>
      <c r="C289" s="1" t="s">
        <v>5466</v>
      </c>
      <c r="D289" s="1" t="s">
        <v>5467</v>
      </c>
      <c r="E289" s="1" t="s">
        <v>5468</v>
      </c>
      <c r="F289" s="1" t="s">
        <v>5469</v>
      </c>
      <c r="G289" s="1" t="s">
        <v>5470</v>
      </c>
      <c r="H289" s="1" t="s">
        <v>5467</v>
      </c>
    </row>
    <row r="290">
      <c r="A290" s="1" t="s">
        <v>355</v>
      </c>
      <c r="B290" s="1" t="s">
        <v>945</v>
      </c>
      <c r="C290" s="1" t="s">
        <v>5471</v>
      </c>
      <c r="D290" s="1" t="s">
        <v>5467</v>
      </c>
      <c r="E290" s="1" t="s">
        <v>5468</v>
      </c>
      <c r="F290" s="1" t="s">
        <v>5472</v>
      </c>
      <c r="G290" s="1" t="s">
        <v>5473</v>
      </c>
      <c r="H290" s="1" t="s">
        <v>5468</v>
      </c>
    </row>
    <row r="291">
      <c r="A291" s="1" t="s">
        <v>355</v>
      </c>
      <c r="B291" s="1" t="s">
        <v>945</v>
      </c>
      <c r="C291" s="1" t="s">
        <v>5474</v>
      </c>
      <c r="D291" s="1" t="s">
        <v>5475</v>
      </c>
      <c r="E291" s="1" t="s">
        <v>5476</v>
      </c>
      <c r="F291" s="1" t="s">
        <v>5477</v>
      </c>
      <c r="G291" s="1" t="s">
        <v>5478</v>
      </c>
      <c r="H291" s="1" t="s">
        <v>5477</v>
      </c>
    </row>
    <row r="292">
      <c r="A292" s="1" t="s">
        <v>355</v>
      </c>
      <c r="B292" s="1" t="s">
        <v>945</v>
      </c>
      <c r="C292" s="1" t="s">
        <v>5479</v>
      </c>
      <c r="D292" s="1" t="s">
        <v>5480</v>
      </c>
      <c r="E292" s="1" t="s">
        <v>5481</v>
      </c>
      <c r="F292" s="1" t="s">
        <v>5482</v>
      </c>
      <c r="G292" s="1" t="s">
        <v>5483</v>
      </c>
      <c r="H292" s="1" t="s">
        <v>5481</v>
      </c>
    </row>
    <row r="293">
      <c r="A293" s="1" t="s">
        <v>355</v>
      </c>
      <c r="B293" s="1" t="s">
        <v>945</v>
      </c>
      <c r="C293" s="1" t="s">
        <v>5484</v>
      </c>
      <c r="D293" s="1">
        <v>2.0</v>
      </c>
      <c r="E293" s="1">
        <v>3.0</v>
      </c>
      <c r="F293" s="1">
        <v>4.0</v>
      </c>
      <c r="G293" s="1">
        <v>5.0</v>
      </c>
      <c r="H293" s="1">
        <v>3.0</v>
      </c>
    </row>
    <row r="294">
      <c r="A294" s="1" t="s">
        <v>355</v>
      </c>
      <c r="B294" s="1" t="s">
        <v>945</v>
      </c>
      <c r="C294" s="1" t="s">
        <v>5485</v>
      </c>
      <c r="D294" s="1" t="s">
        <v>5486</v>
      </c>
      <c r="E294" s="1" t="s">
        <v>5487</v>
      </c>
      <c r="F294" s="1" t="s">
        <v>5488</v>
      </c>
      <c r="G294" s="1" t="s">
        <v>5489</v>
      </c>
      <c r="H294" s="1" t="s">
        <v>5486</v>
      </c>
    </row>
    <row r="295">
      <c r="A295" s="1" t="s">
        <v>355</v>
      </c>
      <c r="B295" s="1" t="s">
        <v>945</v>
      </c>
      <c r="C295" s="1" t="s">
        <v>5490</v>
      </c>
      <c r="D295" s="1" t="s">
        <v>5491</v>
      </c>
      <c r="E295" s="1" t="s">
        <v>5492</v>
      </c>
      <c r="F295" s="1" t="s">
        <v>5493</v>
      </c>
      <c r="G295" s="1" t="s">
        <v>5494</v>
      </c>
      <c r="H295" s="1" t="s">
        <v>5491</v>
      </c>
    </row>
    <row r="296">
      <c r="A296" s="1" t="s">
        <v>355</v>
      </c>
      <c r="B296" s="1" t="s">
        <v>945</v>
      </c>
      <c r="C296" s="1" t="s">
        <v>5495</v>
      </c>
      <c r="D296" s="1" t="s">
        <v>5437</v>
      </c>
      <c r="E296" s="1" t="s">
        <v>5496</v>
      </c>
      <c r="F296" s="1" t="s">
        <v>5497</v>
      </c>
      <c r="G296" s="1" t="s">
        <v>5498</v>
      </c>
      <c r="H296" s="1" t="s">
        <v>5437</v>
      </c>
    </row>
    <row r="297">
      <c r="A297" s="1" t="s">
        <v>355</v>
      </c>
      <c r="B297" s="1" t="s">
        <v>945</v>
      </c>
      <c r="C297" s="1" t="s">
        <v>5499</v>
      </c>
      <c r="D297" s="1" t="s">
        <v>5500</v>
      </c>
      <c r="E297" s="1" t="s">
        <v>5501</v>
      </c>
      <c r="F297" s="1" t="s">
        <v>5502</v>
      </c>
      <c r="G297" s="1" t="s">
        <v>22</v>
      </c>
      <c r="H297" s="1" t="s">
        <v>5503</v>
      </c>
    </row>
    <row r="298">
      <c r="A298" s="1" t="s">
        <v>355</v>
      </c>
      <c r="B298" s="1" t="s">
        <v>945</v>
      </c>
      <c r="C298" s="1" t="s">
        <v>5504</v>
      </c>
      <c r="D298" s="1" t="s">
        <v>5505</v>
      </c>
      <c r="E298" s="1" t="s">
        <v>5506</v>
      </c>
      <c r="F298" s="1" t="s">
        <v>5507</v>
      </c>
      <c r="G298" s="1" t="s">
        <v>5508</v>
      </c>
      <c r="H298" s="1" t="s">
        <v>5505</v>
      </c>
    </row>
    <row r="299">
      <c r="A299" s="1" t="s">
        <v>355</v>
      </c>
      <c r="B299" s="1" t="s">
        <v>945</v>
      </c>
      <c r="C299" s="1" t="s">
        <v>5509</v>
      </c>
      <c r="D299" s="1">
        <v>6.0</v>
      </c>
      <c r="E299" s="1">
        <v>12.0</v>
      </c>
      <c r="F299" s="1">
        <v>36.0</v>
      </c>
      <c r="G299" s="1">
        <v>24.0</v>
      </c>
      <c r="H299" s="1">
        <v>36.0</v>
      </c>
    </row>
    <row r="300">
      <c r="A300" s="1" t="s">
        <v>355</v>
      </c>
      <c r="B300" s="1" t="s">
        <v>945</v>
      </c>
      <c r="C300" s="1" t="s">
        <v>5510</v>
      </c>
      <c r="D300" s="1">
        <v>3.0</v>
      </c>
      <c r="E300" s="1">
        <v>6.0</v>
      </c>
      <c r="F300" s="1">
        <v>8.0</v>
      </c>
      <c r="G300" s="1">
        <v>9.0</v>
      </c>
      <c r="H300" s="1" t="s">
        <v>5511</v>
      </c>
    </row>
    <row r="301">
      <c r="A301" s="1" t="s">
        <v>355</v>
      </c>
      <c r="B301" s="1" t="s">
        <v>945</v>
      </c>
      <c r="C301" s="1" t="s">
        <v>5512</v>
      </c>
      <c r="D301" s="1" t="s">
        <v>5513</v>
      </c>
      <c r="E301" s="1" t="s">
        <v>5514</v>
      </c>
      <c r="F301" s="1">
        <v>3.0</v>
      </c>
      <c r="G301" s="1">
        <v>0.0</v>
      </c>
      <c r="H301" s="1" t="s">
        <v>5514</v>
      </c>
    </row>
    <row r="302">
      <c r="A302" s="1" t="s">
        <v>355</v>
      </c>
      <c r="B302" s="1" t="s">
        <v>945</v>
      </c>
      <c r="C302" s="1" t="s">
        <v>5515</v>
      </c>
      <c r="D302" s="1" t="s">
        <v>5516</v>
      </c>
      <c r="E302" s="1" t="s">
        <v>5517</v>
      </c>
      <c r="F302" s="1" t="s">
        <v>5518</v>
      </c>
      <c r="G302" s="1" t="s">
        <v>2938</v>
      </c>
      <c r="H302" s="1" t="s">
        <v>5518</v>
      </c>
    </row>
    <row r="303">
      <c r="A303" s="1" t="s">
        <v>355</v>
      </c>
      <c r="B303" s="1" t="s">
        <v>945</v>
      </c>
      <c r="C303" s="1" t="s">
        <v>5519</v>
      </c>
      <c r="D303" s="1" t="s">
        <v>5520</v>
      </c>
      <c r="E303" s="1" t="s">
        <v>5521</v>
      </c>
      <c r="F303" s="1" t="s">
        <v>5522</v>
      </c>
      <c r="G303" s="1" t="s">
        <v>5523</v>
      </c>
      <c r="H303" s="1" t="s">
        <v>5522</v>
      </c>
    </row>
    <row r="304">
      <c r="A304" s="1" t="s">
        <v>355</v>
      </c>
      <c r="B304" s="1" t="s">
        <v>945</v>
      </c>
      <c r="C304" s="1" t="s">
        <v>5524</v>
      </c>
      <c r="D304" s="1" t="s">
        <v>5525</v>
      </c>
      <c r="E304" s="1" t="s">
        <v>1234</v>
      </c>
      <c r="F304" s="1" t="s">
        <v>2938</v>
      </c>
      <c r="G304" s="1" t="s">
        <v>5526</v>
      </c>
      <c r="H304" s="1" t="s">
        <v>1234</v>
      </c>
    </row>
    <row r="305">
      <c r="A305" s="1" t="s">
        <v>355</v>
      </c>
      <c r="B305" s="1" t="s">
        <v>945</v>
      </c>
      <c r="C305" s="1" t="s">
        <v>5527</v>
      </c>
      <c r="D305" s="1">
        <v>0.5</v>
      </c>
      <c r="E305" s="1">
        <v>1.0</v>
      </c>
      <c r="F305" s="1">
        <v>100.0</v>
      </c>
      <c r="G305" s="1" t="s">
        <v>417</v>
      </c>
      <c r="H305" s="1">
        <v>1.0</v>
      </c>
    </row>
    <row r="306">
      <c r="A306" s="1" t="s">
        <v>355</v>
      </c>
      <c r="B306" s="1" t="s">
        <v>945</v>
      </c>
      <c r="C306" s="1" t="s">
        <v>5528</v>
      </c>
      <c r="D306" s="1" t="s">
        <v>5529</v>
      </c>
      <c r="E306" s="1" t="s">
        <v>5530</v>
      </c>
      <c r="F306" s="1" t="s">
        <v>5531</v>
      </c>
      <c r="G306" s="1" t="s">
        <v>5532</v>
      </c>
      <c r="H306" s="1" t="s">
        <v>5529</v>
      </c>
    </row>
    <row r="307">
      <c r="A307" s="1" t="s">
        <v>355</v>
      </c>
      <c r="B307" s="1" t="s">
        <v>945</v>
      </c>
      <c r="C307" s="1" t="s">
        <v>5533</v>
      </c>
      <c r="D307" s="1" t="s">
        <v>5534</v>
      </c>
      <c r="E307" s="1" t="s">
        <v>5535</v>
      </c>
      <c r="F307" s="1" t="s">
        <v>5536</v>
      </c>
      <c r="G307" s="1" t="s">
        <v>5537</v>
      </c>
      <c r="H307" s="1" t="s">
        <v>5534</v>
      </c>
    </row>
    <row r="308">
      <c r="A308" s="1" t="s">
        <v>355</v>
      </c>
      <c r="B308" s="1" t="s">
        <v>945</v>
      </c>
      <c r="C308" s="1" t="s">
        <v>5538</v>
      </c>
      <c r="D308" s="1" t="s">
        <v>5539</v>
      </c>
      <c r="E308" s="1" t="s">
        <v>5540</v>
      </c>
      <c r="F308" s="1" t="s">
        <v>5541</v>
      </c>
      <c r="G308" s="1" t="s">
        <v>22</v>
      </c>
      <c r="H308" s="1" t="s">
        <v>5539</v>
      </c>
    </row>
    <row r="309">
      <c r="A309" s="1" t="s">
        <v>355</v>
      </c>
      <c r="B309" s="1" t="s">
        <v>945</v>
      </c>
      <c r="C309" s="1" t="s">
        <v>5542</v>
      </c>
      <c r="D309" s="1" t="s">
        <v>5543</v>
      </c>
      <c r="E309" s="1" t="s">
        <v>5540</v>
      </c>
      <c r="F309" s="1" t="s">
        <v>5544</v>
      </c>
      <c r="G309" s="1" t="s">
        <v>22</v>
      </c>
      <c r="H309" s="1" t="s">
        <v>5540</v>
      </c>
    </row>
    <row r="310">
      <c r="A310" s="1" t="s">
        <v>355</v>
      </c>
      <c r="B310" s="1" t="s">
        <v>945</v>
      </c>
      <c r="C310" s="1" t="s">
        <v>5545</v>
      </c>
      <c r="D310" s="1" t="s">
        <v>5546</v>
      </c>
      <c r="E310" s="1" t="s">
        <v>5547</v>
      </c>
      <c r="F310" s="1" t="s">
        <v>5548</v>
      </c>
      <c r="G310" s="1" t="s">
        <v>5549</v>
      </c>
      <c r="H310" s="1" t="s">
        <v>5546</v>
      </c>
    </row>
    <row r="311">
      <c r="A311" s="1" t="s">
        <v>355</v>
      </c>
      <c r="B311" s="1" t="s">
        <v>945</v>
      </c>
      <c r="C311" s="1" t="s">
        <v>5550</v>
      </c>
      <c r="D311" s="1" t="s">
        <v>5551</v>
      </c>
      <c r="E311" s="1" t="s">
        <v>5552</v>
      </c>
      <c r="F311" s="1" t="s">
        <v>5553</v>
      </c>
      <c r="G311" s="1" t="s">
        <v>22</v>
      </c>
      <c r="H311" s="1" t="s">
        <v>5552</v>
      </c>
    </row>
    <row r="312">
      <c r="A312" s="1" t="s">
        <v>355</v>
      </c>
      <c r="B312" s="1" t="s">
        <v>945</v>
      </c>
      <c r="C312" s="1" t="s">
        <v>5554</v>
      </c>
      <c r="D312" s="1" t="s">
        <v>5555</v>
      </c>
      <c r="E312" s="1" t="s">
        <v>5556</v>
      </c>
      <c r="F312" s="1" t="s">
        <v>5557</v>
      </c>
      <c r="G312" s="1" t="s">
        <v>5558</v>
      </c>
      <c r="H312" s="1" t="s">
        <v>5557</v>
      </c>
    </row>
    <row r="313">
      <c r="A313" s="1" t="s">
        <v>355</v>
      </c>
      <c r="B313" s="1" t="s">
        <v>945</v>
      </c>
      <c r="C313" s="1" t="s">
        <v>5559</v>
      </c>
      <c r="D313" s="1" t="s">
        <v>5560</v>
      </c>
      <c r="E313" s="1" t="s">
        <v>5561</v>
      </c>
      <c r="F313" s="1" t="s">
        <v>5562</v>
      </c>
      <c r="G313" s="1" t="s">
        <v>5563</v>
      </c>
      <c r="H313" s="1" t="s">
        <v>5560</v>
      </c>
    </row>
    <row r="314">
      <c r="A314" s="1" t="s">
        <v>355</v>
      </c>
      <c r="B314" s="1" t="s">
        <v>945</v>
      </c>
      <c r="C314" s="1" t="s">
        <v>5564</v>
      </c>
      <c r="D314" s="1" t="s">
        <v>5565</v>
      </c>
      <c r="E314" s="1" t="s">
        <v>5566</v>
      </c>
      <c r="F314" s="1" t="s">
        <v>5567</v>
      </c>
      <c r="G314" s="1" t="s">
        <v>5568</v>
      </c>
      <c r="H314" s="1" t="s">
        <v>5566</v>
      </c>
    </row>
    <row r="315">
      <c r="A315" s="1" t="s">
        <v>355</v>
      </c>
      <c r="B315" s="1" t="s">
        <v>945</v>
      </c>
      <c r="C315" s="1" t="s">
        <v>5569</v>
      </c>
      <c r="D315" s="1" t="s">
        <v>5570</v>
      </c>
      <c r="E315" s="1" t="s">
        <v>5571</v>
      </c>
      <c r="F315" s="1" t="s">
        <v>5572</v>
      </c>
      <c r="G315" s="1" t="s">
        <v>22</v>
      </c>
      <c r="H315" s="1" t="s">
        <v>5570</v>
      </c>
    </row>
    <row r="316">
      <c r="A316" s="1" t="s">
        <v>355</v>
      </c>
      <c r="B316" s="1" t="s">
        <v>945</v>
      </c>
      <c r="C316" s="1" t="s">
        <v>5573</v>
      </c>
      <c r="D316" s="1" t="s">
        <v>4863</v>
      </c>
      <c r="E316" s="1" t="s">
        <v>5574</v>
      </c>
      <c r="F316" s="1" t="s">
        <v>5575</v>
      </c>
      <c r="G316" s="1" t="s">
        <v>4866</v>
      </c>
      <c r="H316" s="1" t="s">
        <v>5574</v>
      </c>
    </row>
    <row r="317">
      <c r="A317" s="1" t="s">
        <v>355</v>
      </c>
      <c r="B317" s="1" t="s">
        <v>945</v>
      </c>
      <c r="C317" s="1" t="s">
        <v>5576</v>
      </c>
      <c r="D317" s="1">
        <v>0.36</v>
      </c>
      <c r="E317" s="1">
        <v>0.6</v>
      </c>
      <c r="F317" s="1">
        <v>0.13</v>
      </c>
      <c r="G317" s="1">
        <v>0.5</v>
      </c>
      <c r="H317" s="1" t="s">
        <v>5577</v>
      </c>
    </row>
    <row r="318">
      <c r="A318" s="1" t="s">
        <v>355</v>
      </c>
      <c r="B318" s="1" t="s">
        <v>945</v>
      </c>
      <c r="C318" s="1" t="s">
        <v>5578</v>
      </c>
      <c r="D318" s="1" t="s">
        <v>5579</v>
      </c>
      <c r="E318" s="1" t="s">
        <v>5580</v>
      </c>
      <c r="F318" s="1" t="s">
        <v>5029</v>
      </c>
      <c r="G318" s="1" t="s">
        <v>5581</v>
      </c>
      <c r="H318" s="1" t="s">
        <v>5580</v>
      </c>
    </row>
    <row r="319">
      <c r="A319" s="1" t="s">
        <v>355</v>
      </c>
      <c r="B319" s="1" t="s">
        <v>945</v>
      </c>
      <c r="C319" s="1" t="s">
        <v>5582</v>
      </c>
      <c r="D319" s="1" t="s">
        <v>2583</v>
      </c>
      <c r="E319" s="1" t="s">
        <v>2182</v>
      </c>
      <c r="F319" s="1" t="s">
        <v>881</v>
      </c>
      <c r="G319" s="1" t="s">
        <v>5583</v>
      </c>
      <c r="H319" s="1" t="s">
        <v>2583</v>
      </c>
    </row>
    <row r="320">
      <c r="A320" s="1" t="s">
        <v>355</v>
      </c>
      <c r="B320" s="1" t="s">
        <v>945</v>
      </c>
      <c r="C320" s="1" t="s">
        <v>5584</v>
      </c>
      <c r="D320" s="1" t="s">
        <v>2583</v>
      </c>
      <c r="E320" s="1" t="s">
        <v>2182</v>
      </c>
      <c r="F320" s="1" t="s">
        <v>881</v>
      </c>
      <c r="G320" s="1" t="s">
        <v>5583</v>
      </c>
      <c r="H320" s="1" t="s">
        <v>2182</v>
      </c>
    </row>
    <row r="321">
      <c r="A321" s="1" t="s">
        <v>355</v>
      </c>
      <c r="B321" s="1" t="s">
        <v>945</v>
      </c>
      <c r="C321" s="1" t="s">
        <v>5585</v>
      </c>
      <c r="D321" s="1" t="s">
        <v>5012</v>
      </c>
      <c r="E321" s="1" t="s">
        <v>5013</v>
      </c>
      <c r="F321" s="1" t="s">
        <v>5346</v>
      </c>
      <c r="G321" s="1" t="s">
        <v>5586</v>
      </c>
      <c r="H321" s="1" t="s">
        <v>5346</v>
      </c>
    </row>
    <row r="322">
      <c r="A322" s="1" t="s">
        <v>355</v>
      </c>
      <c r="B322" s="1" t="s">
        <v>945</v>
      </c>
      <c r="C322" s="1" t="s">
        <v>5587</v>
      </c>
      <c r="D322" s="1" t="s">
        <v>5588</v>
      </c>
      <c r="E322" s="1" t="s">
        <v>5589</v>
      </c>
      <c r="F322" s="1" t="s">
        <v>5590</v>
      </c>
      <c r="G322" s="1" t="s">
        <v>22</v>
      </c>
      <c r="H322" s="1" t="s">
        <v>5588</v>
      </c>
    </row>
    <row r="323">
      <c r="A323" s="1" t="s">
        <v>355</v>
      </c>
      <c r="B323" s="1" t="s">
        <v>945</v>
      </c>
      <c r="C323" s="1" t="s">
        <v>5591</v>
      </c>
      <c r="D323" s="1" t="s">
        <v>5592</v>
      </c>
      <c r="E323" s="1" t="s">
        <v>5593</v>
      </c>
      <c r="F323" s="1" t="s">
        <v>4863</v>
      </c>
      <c r="G323" s="1" t="s">
        <v>5594</v>
      </c>
      <c r="H323" s="1" t="s">
        <v>5593</v>
      </c>
    </row>
    <row r="324">
      <c r="A324" s="1" t="s">
        <v>355</v>
      </c>
      <c r="B324" s="1" t="s">
        <v>945</v>
      </c>
      <c r="C324" s="1" t="s">
        <v>5595</v>
      </c>
      <c r="D324" s="1" t="s">
        <v>5592</v>
      </c>
      <c r="E324" s="1" t="s">
        <v>5596</v>
      </c>
      <c r="F324" s="1" t="s">
        <v>4863</v>
      </c>
      <c r="G324" s="1" t="s">
        <v>5594</v>
      </c>
      <c r="H324" s="1" t="s">
        <v>5592</v>
      </c>
    </row>
    <row r="325">
      <c r="A325" s="1" t="s">
        <v>355</v>
      </c>
      <c r="B325" s="1" t="s">
        <v>945</v>
      </c>
      <c r="C325" s="1" t="s">
        <v>5597</v>
      </c>
      <c r="D325" s="1" t="s">
        <v>5598</v>
      </c>
      <c r="E325" s="1" t="s">
        <v>5599</v>
      </c>
      <c r="F325" s="1" t="s">
        <v>5600</v>
      </c>
      <c r="G325" s="1" t="s">
        <v>22</v>
      </c>
      <c r="H325" s="1" t="s">
        <v>5598</v>
      </c>
    </row>
    <row r="326">
      <c r="A326" s="1" t="s">
        <v>355</v>
      </c>
      <c r="B326" s="1" t="s">
        <v>945</v>
      </c>
      <c r="C326" s="1" t="s">
        <v>5601</v>
      </c>
      <c r="D326" s="1" t="s">
        <v>5602</v>
      </c>
      <c r="E326" s="1" t="s">
        <v>5603</v>
      </c>
      <c r="F326" s="1" t="s">
        <v>5604</v>
      </c>
      <c r="G326" s="1" t="s">
        <v>5346</v>
      </c>
      <c r="H326" s="1" t="s">
        <v>5603</v>
      </c>
    </row>
    <row r="327">
      <c r="A327" s="1" t="s">
        <v>355</v>
      </c>
      <c r="B327" s="1" t="s">
        <v>945</v>
      </c>
      <c r="C327" s="1" t="s">
        <v>5605</v>
      </c>
      <c r="D327" s="1" t="s">
        <v>5606</v>
      </c>
      <c r="E327" s="1" t="s">
        <v>5607</v>
      </c>
      <c r="F327" s="1" t="s">
        <v>5608</v>
      </c>
      <c r="G327" s="1" t="s">
        <v>5106</v>
      </c>
      <c r="H327" s="1" t="s">
        <v>5106</v>
      </c>
    </row>
    <row r="328">
      <c r="A328" s="1" t="s">
        <v>355</v>
      </c>
      <c r="B328" s="1" t="s">
        <v>945</v>
      </c>
      <c r="C328" s="1" t="s">
        <v>5609</v>
      </c>
      <c r="D328" s="1" t="s">
        <v>5610</v>
      </c>
      <c r="E328" s="1" t="s">
        <v>5611</v>
      </c>
      <c r="F328" s="1" t="s">
        <v>5612</v>
      </c>
      <c r="G328" s="1" t="s">
        <v>5613</v>
      </c>
      <c r="H328" s="1" t="s">
        <v>5610</v>
      </c>
    </row>
    <row r="329">
      <c r="A329" s="1" t="s">
        <v>355</v>
      </c>
      <c r="B329" s="1" t="s">
        <v>945</v>
      </c>
      <c r="C329" s="1" t="s">
        <v>5614</v>
      </c>
      <c r="D329" s="1" t="s">
        <v>5615</v>
      </c>
      <c r="E329" s="1" t="s">
        <v>5616</v>
      </c>
      <c r="F329" s="1" t="s">
        <v>5617</v>
      </c>
      <c r="G329" s="1" t="s">
        <v>5618</v>
      </c>
      <c r="H329" s="1" t="s">
        <v>5616</v>
      </c>
    </row>
    <row r="330">
      <c r="A330" s="1" t="s">
        <v>355</v>
      </c>
      <c r="B330" s="1" t="s">
        <v>945</v>
      </c>
      <c r="C330" s="1" t="s">
        <v>5619</v>
      </c>
      <c r="D330" s="1" t="s">
        <v>5620</v>
      </c>
      <c r="E330" s="1" t="s">
        <v>5621</v>
      </c>
      <c r="F330" s="1" t="s">
        <v>5622</v>
      </c>
      <c r="G330" s="1" t="s">
        <v>22</v>
      </c>
      <c r="H330" s="1" t="s">
        <v>5623</v>
      </c>
    </row>
    <row r="331">
      <c r="A331" s="1" t="s">
        <v>355</v>
      </c>
      <c r="B331" s="1" t="s">
        <v>945</v>
      </c>
      <c r="C331" s="1" t="s">
        <v>5624</v>
      </c>
      <c r="D331" s="1" t="s">
        <v>5602</v>
      </c>
      <c r="E331" s="1" t="s">
        <v>5625</v>
      </c>
      <c r="F331" s="1" t="s">
        <v>5604</v>
      </c>
      <c r="G331" s="1" t="s">
        <v>5626</v>
      </c>
      <c r="H331" s="1" t="s">
        <v>5602</v>
      </c>
    </row>
    <row r="332">
      <c r="A332" s="1" t="s">
        <v>355</v>
      </c>
      <c r="B332" s="1" t="s">
        <v>945</v>
      </c>
      <c r="C332" s="1" t="s">
        <v>5627</v>
      </c>
      <c r="D332" s="1" t="s">
        <v>5628</v>
      </c>
      <c r="E332" s="1" t="s">
        <v>5629</v>
      </c>
      <c r="F332" s="1" t="s">
        <v>5630</v>
      </c>
      <c r="G332" s="1" t="s">
        <v>5631</v>
      </c>
      <c r="H332" s="1" t="s">
        <v>5628</v>
      </c>
    </row>
    <row r="333">
      <c r="A333" s="1" t="s">
        <v>355</v>
      </c>
      <c r="B333" s="1" t="s">
        <v>945</v>
      </c>
      <c r="C333" s="1" t="s">
        <v>5632</v>
      </c>
      <c r="D333" s="1" t="s">
        <v>5633</v>
      </c>
      <c r="E333" s="1" t="s">
        <v>5634</v>
      </c>
      <c r="F333" s="1" t="s">
        <v>5635</v>
      </c>
      <c r="G333" s="1" t="s">
        <v>22</v>
      </c>
      <c r="H333" s="1" t="s">
        <v>5633</v>
      </c>
    </row>
    <row r="334">
      <c r="A334" s="1" t="s">
        <v>355</v>
      </c>
      <c r="B334" s="1" t="s">
        <v>945</v>
      </c>
      <c r="C334" s="1" t="s">
        <v>5636</v>
      </c>
      <c r="D334" s="1" t="s">
        <v>5637</v>
      </c>
      <c r="E334" s="1" t="s">
        <v>5638</v>
      </c>
      <c r="F334" s="1" t="s">
        <v>5639</v>
      </c>
      <c r="G334" s="1" t="s">
        <v>5640</v>
      </c>
      <c r="H334" s="1" t="s">
        <v>5637</v>
      </c>
    </row>
    <row r="335">
      <c r="A335" s="1" t="s">
        <v>355</v>
      </c>
      <c r="B335" s="1" t="s">
        <v>945</v>
      </c>
      <c r="C335" s="1" t="s">
        <v>5641</v>
      </c>
      <c r="D335" s="1" t="s">
        <v>5642</v>
      </c>
      <c r="E335" s="1" t="s">
        <v>5638</v>
      </c>
      <c r="F335" s="1" t="s">
        <v>5639</v>
      </c>
      <c r="G335" s="1" t="s">
        <v>5640</v>
      </c>
      <c r="H335" s="1" t="s">
        <v>5638</v>
      </c>
    </row>
    <row r="336">
      <c r="A336" s="1" t="s">
        <v>355</v>
      </c>
      <c r="B336" s="1" t="s">
        <v>945</v>
      </c>
      <c r="C336" s="1" t="s">
        <v>5643</v>
      </c>
      <c r="D336" s="1" t="s">
        <v>5644</v>
      </c>
      <c r="E336" s="1" t="s">
        <v>5645</v>
      </c>
      <c r="F336" s="1" t="s">
        <v>5646</v>
      </c>
      <c r="G336" s="1" t="s">
        <v>5647</v>
      </c>
      <c r="H336" s="1" t="s">
        <v>5644</v>
      </c>
    </row>
    <row r="337">
      <c r="A337" s="1" t="s">
        <v>355</v>
      </c>
      <c r="B337" s="1" t="s">
        <v>945</v>
      </c>
      <c r="C337" s="1" t="s">
        <v>5648</v>
      </c>
      <c r="D337" s="1" t="s">
        <v>5649</v>
      </c>
      <c r="E337" s="1" t="s">
        <v>5650</v>
      </c>
      <c r="F337" s="1" t="s">
        <v>5651</v>
      </c>
      <c r="G337" s="1" t="s">
        <v>5652</v>
      </c>
      <c r="H337" s="1" t="s">
        <v>5649</v>
      </c>
    </row>
    <row r="338">
      <c r="A338" s="1" t="s">
        <v>355</v>
      </c>
      <c r="B338" s="1" t="s">
        <v>945</v>
      </c>
      <c r="C338" s="1" t="s">
        <v>5653</v>
      </c>
      <c r="D338" s="1" t="s">
        <v>5654</v>
      </c>
      <c r="E338" s="1" t="s">
        <v>5655</v>
      </c>
      <c r="F338" s="1" t="s">
        <v>5656</v>
      </c>
      <c r="G338" s="1" t="s">
        <v>5657</v>
      </c>
      <c r="H338" s="1" t="s">
        <v>5654</v>
      </c>
    </row>
    <row r="339">
      <c r="A339" s="1" t="s">
        <v>355</v>
      </c>
      <c r="B339" s="1" t="s">
        <v>945</v>
      </c>
      <c r="C339" s="1" t="s">
        <v>5658</v>
      </c>
      <c r="D339" s="1">
        <v>100.0</v>
      </c>
      <c r="E339" s="1">
        <v>1000.0</v>
      </c>
      <c r="F339" s="1">
        <v>10000.0</v>
      </c>
      <c r="G339" s="1">
        <v>100000.0</v>
      </c>
      <c r="H339" s="1">
        <v>1000.0</v>
      </c>
    </row>
    <row r="340">
      <c r="A340" s="1" t="s">
        <v>355</v>
      </c>
      <c r="B340" s="1" t="s">
        <v>945</v>
      </c>
      <c r="C340" s="1" t="s">
        <v>5659</v>
      </c>
      <c r="D340" s="1" t="s">
        <v>5660</v>
      </c>
      <c r="E340" s="1" t="s">
        <v>5661</v>
      </c>
      <c r="F340" s="1" t="s">
        <v>5662</v>
      </c>
      <c r="G340" s="1" t="s">
        <v>5663</v>
      </c>
      <c r="H340" s="1" t="s">
        <v>5664</v>
      </c>
    </row>
    <row r="341">
      <c r="A341" s="1" t="s">
        <v>355</v>
      </c>
      <c r="B341" s="1" t="s">
        <v>945</v>
      </c>
      <c r="C341" s="1" t="s">
        <v>5665</v>
      </c>
      <c r="D341" s="1" t="s">
        <v>5666</v>
      </c>
      <c r="E341" s="1" t="s">
        <v>5667</v>
      </c>
      <c r="F341" s="1" t="s">
        <v>5668</v>
      </c>
      <c r="G341" s="1" t="s">
        <v>5669</v>
      </c>
      <c r="H341" s="1" t="s">
        <v>5666</v>
      </c>
    </row>
    <row r="342">
      <c r="A342" s="1" t="s">
        <v>355</v>
      </c>
      <c r="B342" s="1" t="s">
        <v>945</v>
      </c>
      <c r="C342" s="1" t="s">
        <v>5670</v>
      </c>
      <c r="D342" s="1" t="s">
        <v>5671</v>
      </c>
      <c r="E342" s="1" t="s">
        <v>5672</v>
      </c>
      <c r="F342" s="1" t="s">
        <v>5673</v>
      </c>
      <c r="G342" s="1" t="s">
        <v>5674</v>
      </c>
      <c r="H342" s="1" t="s">
        <v>5673</v>
      </c>
    </row>
    <row r="343">
      <c r="A343" s="1" t="s">
        <v>355</v>
      </c>
      <c r="B343" s="1" t="s">
        <v>945</v>
      </c>
      <c r="C343" s="1" t="s">
        <v>5675</v>
      </c>
      <c r="D343" s="1" t="s">
        <v>5676</v>
      </c>
      <c r="E343" s="1" t="s">
        <v>5677</v>
      </c>
      <c r="F343" s="1" t="s">
        <v>5678</v>
      </c>
      <c r="G343" s="1" t="s">
        <v>5679</v>
      </c>
      <c r="H343" s="1" t="s">
        <v>5680</v>
      </c>
    </row>
    <row r="344">
      <c r="A344" s="1" t="s">
        <v>355</v>
      </c>
      <c r="B344" s="1" t="s">
        <v>945</v>
      </c>
      <c r="C344" s="1" t="s">
        <v>5681</v>
      </c>
      <c r="D344" s="1" t="s">
        <v>5682</v>
      </c>
      <c r="E344" s="1" t="s">
        <v>5683</v>
      </c>
      <c r="F344" s="1" t="s">
        <v>5684</v>
      </c>
      <c r="G344" s="1" t="s">
        <v>5685</v>
      </c>
      <c r="H344" s="1" t="s">
        <v>5682</v>
      </c>
    </row>
    <row r="345">
      <c r="A345" s="1" t="s">
        <v>355</v>
      </c>
      <c r="B345" s="1" t="s">
        <v>945</v>
      </c>
      <c r="C345" s="1" t="s">
        <v>5686</v>
      </c>
      <c r="D345" s="1" t="s">
        <v>5687</v>
      </c>
      <c r="E345" s="1" t="s">
        <v>5688</v>
      </c>
      <c r="F345" s="1" t="s">
        <v>5689</v>
      </c>
      <c r="G345" s="1" t="s">
        <v>5690</v>
      </c>
      <c r="H345" s="1" t="s">
        <v>5687</v>
      </c>
    </row>
    <row r="346">
      <c r="A346" s="1" t="s">
        <v>355</v>
      </c>
      <c r="B346" s="1" t="s">
        <v>945</v>
      </c>
      <c r="C346" s="1" t="s">
        <v>5691</v>
      </c>
      <c r="D346" s="1" t="s">
        <v>5692</v>
      </c>
      <c r="E346" s="1" t="s">
        <v>5693</v>
      </c>
      <c r="F346" s="1" t="s">
        <v>5694</v>
      </c>
      <c r="G346" s="1" t="s">
        <v>5695</v>
      </c>
      <c r="H346" s="1" t="s">
        <v>5692</v>
      </c>
    </row>
    <row r="347">
      <c r="A347" s="1" t="s">
        <v>355</v>
      </c>
      <c r="B347" s="1" t="s">
        <v>945</v>
      </c>
      <c r="C347" s="1" t="s">
        <v>5696</v>
      </c>
      <c r="D347" s="1" t="s">
        <v>5697</v>
      </c>
      <c r="E347" s="1" t="s">
        <v>5698</v>
      </c>
      <c r="F347" s="1" t="s">
        <v>5699</v>
      </c>
      <c r="G347" s="1" t="s">
        <v>5700</v>
      </c>
      <c r="H347" s="1" t="s">
        <v>5697</v>
      </c>
    </row>
    <row r="348">
      <c r="A348" s="1" t="s">
        <v>355</v>
      </c>
      <c r="B348" s="1" t="s">
        <v>945</v>
      </c>
      <c r="C348" s="1" t="s">
        <v>5701</v>
      </c>
      <c r="D348" s="1" t="s">
        <v>5702</v>
      </c>
      <c r="E348" s="1" t="s">
        <v>5703</v>
      </c>
      <c r="F348" s="1" t="s">
        <v>5704</v>
      </c>
      <c r="G348" s="1" t="s">
        <v>5705</v>
      </c>
      <c r="H348" s="1" t="s">
        <v>5702</v>
      </c>
    </row>
    <row r="349">
      <c r="A349" s="1" t="s">
        <v>355</v>
      </c>
      <c r="B349" s="1" t="s">
        <v>945</v>
      </c>
      <c r="C349" s="1" t="s">
        <v>5706</v>
      </c>
      <c r="D349" s="1" t="s">
        <v>5707</v>
      </c>
      <c r="E349" s="1" t="s">
        <v>5708</v>
      </c>
      <c r="F349" s="1" t="s">
        <v>5709</v>
      </c>
      <c r="G349" s="1" t="s">
        <v>5710</v>
      </c>
      <c r="H349" s="1" t="s">
        <v>5707</v>
      </c>
    </row>
    <row r="350">
      <c r="A350" s="1" t="s">
        <v>355</v>
      </c>
      <c r="B350" s="1" t="s">
        <v>945</v>
      </c>
      <c r="C350" s="1" t="s">
        <v>5711</v>
      </c>
      <c r="D350" s="1" t="s">
        <v>5712</v>
      </c>
      <c r="E350" s="1" t="s">
        <v>5713</v>
      </c>
      <c r="F350" s="1" t="s">
        <v>5714</v>
      </c>
      <c r="G350" s="1" t="s">
        <v>5148</v>
      </c>
      <c r="H350" s="1" t="s">
        <v>5712</v>
      </c>
    </row>
    <row r="351">
      <c r="A351" s="1" t="s">
        <v>355</v>
      </c>
      <c r="B351" s="1" t="s">
        <v>945</v>
      </c>
      <c r="C351" s="1" t="s">
        <v>5715</v>
      </c>
      <c r="D351" s="1" t="s">
        <v>5716</v>
      </c>
      <c r="E351" s="1" t="s">
        <v>5717</v>
      </c>
      <c r="F351" s="1" t="s">
        <v>5718</v>
      </c>
      <c r="G351" s="1" t="s">
        <v>5719</v>
      </c>
      <c r="H351" s="1" t="s">
        <v>5716</v>
      </c>
    </row>
    <row r="352">
      <c r="A352" s="1" t="s">
        <v>355</v>
      </c>
      <c r="B352" s="1" t="s">
        <v>945</v>
      </c>
      <c r="C352" s="1" t="s">
        <v>5720</v>
      </c>
      <c r="D352" s="1" t="s">
        <v>5721</v>
      </c>
      <c r="E352" s="1" t="s">
        <v>5708</v>
      </c>
      <c r="F352" s="1" t="s">
        <v>5722</v>
      </c>
      <c r="G352" s="1" t="s">
        <v>5723</v>
      </c>
      <c r="H352" s="1" t="s">
        <v>5721</v>
      </c>
    </row>
    <row r="353">
      <c r="A353" s="1" t="s">
        <v>355</v>
      </c>
      <c r="B353" s="1" t="s">
        <v>945</v>
      </c>
      <c r="C353" s="1" t="s">
        <v>5724</v>
      </c>
      <c r="D353" s="1" t="s">
        <v>5725</v>
      </c>
      <c r="E353" s="1" t="s">
        <v>5726</v>
      </c>
      <c r="F353" s="1" t="s">
        <v>5727</v>
      </c>
      <c r="G353" s="1" t="s">
        <v>5728</v>
      </c>
      <c r="H353" s="1" t="s">
        <v>5725</v>
      </c>
    </row>
    <row r="354">
      <c r="A354" s="1" t="s">
        <v>355</v>
      </c>
      <c r="B354" s="1" t="s">
        <v>945</v>
      </c>
      <c r="C354" s="1" t="s">
        <v>5729</v>
      </c>
      <c r="D354" s="1" t="s">
        <v>2693</v>
      </c>
      <c r="E354" s="1" t="s">
        <v>2694</v>
      </c>
      <c r="F354" s="1" t="s">
        <v>5730</v>
      </c>
      <c r="G354" s="1" t="s">
        <v>5731</v>
      </c>
      <c r="H354" s="1" t="s">
        <v>5732</v>
      </c>
    </row>
    <row r="355">
      <c r="A355" s="1" t="s">
        <v>355</v>
      </c>
      <c r="B355" s="1" t="s">
        <v>945</v>
      </c>
      <c r="C355" s="1" t="s">
        <v>5733</v>
      </c>
      <c r="D355" s="1" t="s">
        <v>5734</v>
      </c>
      <c r="E355" s="1" t="s">
        <v>5735</v>
      </c>
      <c r="F355" s="1" t="s">
        <v>5736</v>
      </c>
      <c r="G355" s="1" t="s">
        <v>5737</v>
      </c>
      <c r="H355" s="1" t="s">
        <v>5734</v>
      </c>
    </row>
    <row r="356">
      <c r="A356" s="1" t="s">
        <v>355</v>
      </c>
      <c r="B356" s="1" t="s">
        <v>945</v>
      </c>
      <c r="C356" s="1" t="s">
        <v>5738</v>
      </c>
      <c r="D356" s="1" t="s">
        <v>5739</v>
      </c>
      <c r="E356" s="1" t="s">
        <v>5740</v>
      </c>
      <c r="F356" s="1" t="s">
        <v>5741</v>
      </c>
      <c r="G356" s="1" t="s">
        <v>5742</v>
      </c>
      <c r="H356" s="1" t="s">
        <v>5739</v>
      </c>
    </row>
    <row r="357">
      <c r="A357" s="1" t="s">
        <v>355</v>
      </c>
      <c r="B357" s="1" t="s">
        <v>945</v>
      </c>
      <c r="C357" s="1" t="s">
        <v>5743</v>
      </c>
      <c r="D357" s="1" t="s">
        <v>5744</v>
      </c>
      <c r="E357" s="1" t="s">
        <v>5745</v>
      </c>
      <c r="F357" s="1" t="s">
        <v>5746</v>
      </c>
      <c r="G357" s="1" t="s">
        <v>5747</v>
      </c>
      <c r="H357" s="1" t="s">
        <v>5744</v>
      </c>
    </row>
    <row r="358">
      <c r="A358" s="1" t="s">
        <v>355</v>
      </c>
      <c r="B358" s="1" t="s">
        <v>945</v>
      </c>
      <c r="C358" s="1" t="s">
        <v>5748</v>
      </c>
      <c r="D358" s="1" t="s">
        <v>5749</v>
      </c>
      <c r="E358" s="1" t="s">
        <v>5750</v>
      </c>
      <c r="F358" s="1" t="s">
        <v>4863</v>
      </c>
      <c r="G358" s="1" t="s">
        <v>4866</v>
      </c>
      <c r="H358" s="1" t="s">
        <v>5749</v>
      </c>
    </row>
    <row r="359">
      <c r="A359" s="1" t="s">
        <v>355</v>
      </c>
      <c r="B359" s="1" t="s">
        <v>945</v>
      </c>
      <c r="C359" s="1" t="s">
        <v>5751</v>
      </c>
      <c r="D359" s="1" t="s">
        <v>5752</v>
      </c>
      <c r="E359" s="1" t="s">
        <v>5753</v>
      </c>
      <c r="F359" s="1" t="s">
        <v>5754</v>
      </c>
      <c r="G359" s="1" t="s">
        <v>4863</v>
      </c>
      <c r="H359" s="1" t="s">
        <v>5752</v>
      </c>
    </row>
    <row r="360">
      <c r="A360" s="1" t="s">
        <v>355</v>
      </c>
      <c r="B360" s="1" t="s">
        <v>945</v>
      </c>
      <c r="C360" s="1" t="s">
        <v>5755</v>
      </c>
      <c r="D360" s="1" t="s">
        <v>5753</v>
      </c>
      <c r="E360" s="1" t="s">
        <v>5752</v>
      </c>
      <c r="F360" s="1" t="s">
        <v>220</v>
      </c>
      <c r="G360" s="1" t="s">
        <v>4864</v>
      </c>
      <c r="H360" s="1" t="s">
        <v>5753</v>
      </c>
    </row>
    <row r="361">
      <c r="A361" s="1" t="s">
        <v>355</v>
      </c>
      <c r="B361" s="1" t="s">
        <v>945</v>
      </c>
      <c r="C361" s="1" t="s">
        <v>5756</v>
      </c>
      <c r="D361" s="1" t="s">
        <v>5757</v>
      </c>
      <c r="E361" s="1" t="s">
        <v>5758</v>
      </c>
      <c r="F361" s="1" t="s">
        <v>5759</v>
      </c>
      <c r="G361" s="1" t="s">
        <v>5760</v>
      </c>
      <c r="H361" s="1" t="s">
        <v>5757</v>
      </c>
    </row>
    <row r="362">
      <c r="A362" s="1" t="s">
        <v>355</v>
      </c>
      <c r="B362" s="1" t="s">
        <v>945</v>
      </c>
      <c r="C362" s="1" t="s">
        <v>5761</v>
      </c>
      <c r="D362" s="1" t="s">
        <v>5762</v>
      </c>
      <c r="E362" s="1" t="s">
        <v>5763</v>
      </c>
      <c r="F362" s="1" t="s">
        <v>5764</v>
      </c>
      <c r="G362" s="1" t="s">
        <v>5765</v>
      </c>
      <c r="H362" s="1" t="s">
        <v>5762</v>
      </c>
    </row>
    <row r="363">
      <c r="A363" s="1" t="s">
        <v>355</v>
      </c>
      <c r="B363" s="1" t="s">
        <v>945</v>
      </c>
      <c r="C363" s="1" t="s">
        <v>5766</v>
      </c>
      <c r="D363" s="1" t="s">
        <v>5767</v>
      </c>
      <c r="E363" s="1" t="s">
        <v>5768</v>
      </c>
      <c r="F363" s="1" t="s">
        <v>5769</v>
      </c>
      <c r="G363" s="1" t="s">
        <v>5770</v>
      </c>
      <c r="H363" s="1" t="s">
        <v>5767</v>
      </c>
    </row>
    <row r="364">
      <c r="A364" s="1" t="s">
        <v>355</v>
      </c>
      <c r="B364" s="1" t="s">
        <v>945</v>
      </c>
      <c r="C364" s="1" t="s">
        <v>5771</v>
      </c>
      <c r="D364" s="1" t="s">
        <v>5772</v>
      </c>
      <c r="E364" s="1" t="s">
        <v>5722</v>
      </c>
      <c r="F364" s="1" t="s">
        <v>5773</v>
      </c>
      <c r="G364" s="1" t="s">
        <v>5774</v>
      </c>
      <c r="H364" s="1" t="s">
        <v>5772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355</v>
      </c>
      <c r="B2" s="1" t="s">
        <v>5014</v>
      </c>
      <c r="C2" s="1" t="s">
        <v>5775</v>
      </c>
      <c r="D2" s="1">
        <v>0.0</v>
      </c>
      <c r="E2" s="1">
        <v>1.0</v>
      </c>
      <c r="F2" s="1">
        <v>-1.0</v>
      </c>
      <c r="G2" s="2">
        <v>46054.0</v>
      </c>
      <c r="H2" s="1" t="s">
        <v>4</v>
      </c>
    </row>
    <row r="3">
      <c r="A3" s="1" t="s">
        <v>355</v>
      </c>
      <c r="B3" s="1" t="s">
        <v>5014</v>
      </c>
      <c r="C3" s="1" t="s">
        <v>5776</v>
      </c>
      <c r="D3" s="1">
        <v>1.0</v>
      </c>
      <c r="E3" s="1">
        <v>0.0</v>
      </c>
      <c r="F3" s="1">
        <v>0.5</v>
      </c>
      <c r="G3" s="1">
        <v>1.5</v>
      </c>
      <c r="H3" s="1" t="s">
        <v>4</v>
      </c>
    </row>
    <row r="4">
      <c r="A4" s="1" t="s">
        <v>355</v>
      </c>
      <c r="B4" s="1" t="s">
        <v>5014</v>
      </c>
      <c r="C4" s="1" t="s">
        <v>5777</v>
      </c>
      <c r="D4" s="1">
        <v>0.0</v>
      </c>
      <c r="E4" s="1">
        <v>1.0</v>
      </c>
      <c r="F4" s="1">
        <v>-1.0</v>
      </c>
      <c r="G4" s="1">
        <v>2.0</v>
      </c>
      <c r="H4" s="1" t="s">
        <v>4</v>
      </c>
    </row>
    <row r="5">
      <c r="A5" s="1" t="s">
        <v>355</v>
      </c>
      <c r="B5" s="1" t="s">
        <v>5014</v>
      </c>
      <c r="C5" s="1" t="s">
        <v>5778</v>
      </c>
      <c r="D5" s="2">
        <v>46083.0</v>
      </c>
      <c r="E5" s="1">
        <v>-1.5</v>
      </c>
      <c r="F5" s="13">
        <v>0.15</v>
      </c>
      <c r="G5" s="1">
        <v>0.7</v>
      </c>
      <c r="H5" s="1" t="s">
        <v>4</v>
      </c>
    </row>
    <row r="6">
      <c r="A6" s="1" t="s">
        <v>355</v>
      </c>
      <c r="B6" s="1" t="s">
        <v>5014</v>
      </c>
      <c r="C6" s="1" t="s">
        <v>5779</v>
      </c>
      <c r="D6" s="1">
        <v>0.0</v>
      </c>
      <c r="E6" s="1">
        <v>2.0</v>
      </c>
      <c r="F6" s="1">
        <v>1.0</v>
      </c>
      <c r="G6" s="1" t="s">
        <v>22</v>
      </c>
      <c r="H6" s="1" t="s">
        <v>5</v>
      </c>
    </row>
    <row r="7">
      <c r="A7" s="1" t="s">
        <v>355</v>
      </c>
      <c r="B7" s="1" t="s">
        <v>5014</v>
      </c>
      <c r="C7" s="1" t="s">
        <v>5780</v>
      </c>
      <c r="D7" s="2">
        <v>46082.0</v>
      </c>
      <c r="E7" s="2">
        <v>46174.0</v>
      </c>
      <c r="F7" s="2">
        <v>46083.0</v>
      </c>
      <c r="G7" s="2">
        <v>46178.0</v>
      </c>
      <c r="H7" s="1" t="s">
        <v>4</v>
      </c>
    </row>
    <row r="8">
      <c r="A8" s="1" t="s">
        <v>355</v>
      </c>
      <c r="B8" s="1" t="s">
        <v>5014</v>
      </c>
      <c r="C8" s="1" t="s">
        <v>5781</v>
      </c>
      <c r="D8" s="2">
        <v>46054.0</v>
      </c>
      <c r="E8" s="2">
        <v>46082.0</v>
      </c>
      <c r="F8" s="2">
        <v>46174.0</v>
      </c>
      <c r="G8" s="2">
        <v>46083.0</v>
      </c>
      <c r="H8" s="1" t="s">
        <v>3</v>
      </c>
    </row>
    <row r="9">
      <c r="A9" s="1" t="s">
        <v>355</v>
      </c>
      <c r="B9" s="1" t="s">
        <v>5014</v>
      </c>
      <c r="C9" s="1" t="s">
        <v>5782</v>
      </c>
      <c r="D9" s="2">
        <v>46082.0</v>
      </c>
      <c r="E9" s="2">
        <v>46054.0</v>
      </c>
      <c r="F9" s="2">
        <v>46083.0</v>
      </c>
      <c r="G9" s="2">
        <v>46174.0</v>
      </c>
      <c r="H9" s="1" t="s">
        <v>3</v>
      </c>
    </row>
    <row r="10">
      <c r="A10" s="1" t="s">
        <v>355</v>
      </c>
      <c r="B10" s="1" t="s">
        <v>5014</v>
      </c>
      <c r="C10" s="1" t="s">
        <v>5783</v>
      </c>
      <c r="D10" s="2">
        <v>46054.0</v>
      </c>
      <c r="E10" s="2">
        <v>46082.0</v>
      </c>
      <c r="F10" s="2">
        <v>46083.0</v>
      </c>
      <c r="G10" s="2">
        <v>46174.0</v>
      </c>
      <c r="H10" s="1" t="s">
        <v>3</v>
      </c>
    </row>
    <row r="11">
      <c r="A11" s="1" t="s">
        <v>355</v>
      </c>
      <c r="B11" s="1" t="s">
        <v>5014</v>
      </c>
      <c r="C11" s="1" t="s">
        <v>5784</v>
      </c>
      <c r="D11" s="2">
        <v>46174.0</v>
      </c>
      <c r="E11" s="1" t="s">
        <v>5785</v>
      </c>
      <c r="F11" s="1" t="s">
        <v>5786</v>
      </c>
      <c r="G11" s="2">
        <v>46054.0</v>
      </c>
      <c r="H11" s="1" t="s">
        <v>3</v>
      </c>
    </row>
    <row r="12">
      <c r="A12" s="1" t="s">
        <v>355</v>
      </c>
      <c r="B12" s="1" t="s">
        <v>5014</v>
      </c>
      <c r="C12" s="1" t="s">
        <v>5787</v>
      </c>
      <c r="D12" s="2">
        <v>46266.0</v>
      </c>
      <c r="E12" s="2">
        <v>46357.0</v>
      </c>
      <c r="F12" s="2">
        <v>46174.0</v>
      </c>
      <c r="G12" s="1" t="s">
        <v>5785</v>
      </c>
      <c r="H12" s="1" t="s">
        <v>4</v>
      </c>
    </row>
    <row r="13">
      <c r="A13" s="1" t="s">
        <v>355</v>
      </c>
      <c r="B13" s="1" t="s">
        <v>5014</v>
      </c>
      <c r="C13" s="1" t="s">
        <v>5788</v>
      </c>
      <c r="D13" s="1" t="s">
        <v>5789</v>
      </c>
      <c r="E13" s="1" t="s">
        <v>5790</v>
      </c>
      <c r="F13" s="1" t="s">
        <v>5791</v>
      </c>
      <c r="G13" s="1" t="s">
        <v>5792</v>
      </c>
      <c r="H13" s="1" t="s">
        <v>5</v>
      </c>
    </row>
    <row r="14">
      <c r="A14" s="1" t="s">
        <v>355</v>
      </c>
      <c r="B14" s="1" t="s">
        <v>5014</v>
      </c>
      <c r="C14" s="1" t="s">
        <v>5793</v>
      </c>
      <c r="D14" s="2">
        <v>46113.0</v>
      </c>
      <c r="E14" s="2">
        <v>46054.0</v>
      </c>
      <c r="F14" s="1" t="s">
        <v>5789</v>
      </c>
      <c r="G14" s="1" t="s">
        <v>5790</v>
      </c>
      <c r="H14" s="1" t="s">
        <v>3</v>
      </c>
    </row>
    <row r="15">
      <c r="A15" s="1" t="s">
        <v>355</v>
      </c>
      <c r="B15" s="1" t="s">
        <v>5014</v>
      </c>
      <c r="C15" s="1" t="s">
        <v>5794</v>
      </c>
      <c r="D15" s="1" t="s">
        <v>5789</v>
      </c>
      <c r="E15" s="1" t="s">
        <v>5795</v>
      </c>
      <c r="F15" s="1" t="s">
        <v>5796</v>
      </c>
      <c r="G15" s="2">
        <v>46113.0</v>
      </c>
      <c r="H15" s="1" t="s">
        <v>3</v>
      </c>
    </row>
    <row r="16">
      <c r="A16" s="1" t="s">
        <v>355</v>
      </c>
      <c r="B16" s="1" t="s">
        <v>5014</v>
      </c>
      <c r="C16" s="1" t="s">
        <v>5797</v>
      </c>
      <c r="D16" s="1">
        <v>4.0</v>
      </c>
      <c r="E16" s="1">
        <v>8.0</v>
      </c>
      <c r="F16" s="1">
        <v>12.0</v>
      </c>
      <c r="G16" s="1">
        <v>16.0</v>
      </c>
      <c r="H16" s="1" t="s">
        <v>5</v>
      </c>
    </row>
    <row r="17">
      <c r="A17" s="1" t="s">
        <v>355</v>
      </c>
      <c r="B17" s="1" t="s">
        <v>5014</v>
      </c>
      <c r="C17" s="1" t="s">
        <v>5798</v>
      </c>
      <c r="D17" s="1" t="s">
        <v>5790</v>
      </c>
      <c r="E17" s="1" t="s">
        <v>5789</v>
      </c>
      <c r="F17" s="1" t="s">
        <v>5796</v>
      </c>
      <c r="G17" s="2">
        <v>46113.0</v>
      </c>
      <c r="H17" s="1" t="s">
        <v>3</v>
      </c>
    </row>
    <row r="18">
      <c r="A18" s="1" t="s">
        <v>355</v>
      </c>
      <c r="B18" s="1" t="s">
        <v>5014</v>
      </c>
      <c r="C18" s="1" t="s">
        <v>5799</v>
      </c>
      <c r="D18" s="1" t="s">
        <v>5800</v>
      </c>
      <c r="E18" s="1" t="s">
        <v>5790</v>
      </c>
      <c r="F18" s="1" t="s">
        <v>5791</v>
      </c>
      <c r="G18" s="1" t="s">
        <v>5789</v>
      </c>
      <c r="H18" s="1" t="s">
        <v>3</v>
      </c>
    </row>
    <row r="19">
      <c r="A19" s="1" t="s">
        <v>355</v>
      </c>
      <c r="B19" s="1" t="s">
        <v>5014</v>
      </c>
      <c r="C19" s="1" t="s">
        <v>5801</v>
      </c>
      <c r="D19" s="1">
        <v>1.0</v>
      </c>
      <c r="E19" s="1">
        <v>0.0</v>
      </c>
      <c r="F19" s="2">
        <v>46054.0</v>
      </c>
      <c r="G19" s="2">
        <v>46113.0</v>
      </c>
      <c r="H19" s="1" t="s">
        <v>5</v>
      </c>
    </row>
    <row r="20">
      <c r="A20" s="1" t="s">
        <v>355</v>
      </c>
      <c r="B20" s="1" t="s">
        <v>5014</v>
      </c>
      <c r="C20" s="1" t="s">
        <v>5802</v>
      </c>
      <c r="D20" s="2">
        <v>46113.0</v>
      </c>
      <c r="E20" s="2">
        <v>46115.0</v>
      </c>
      <c r="F20" s="2">
        <v>46054.0</v>
      </c>
      <c r="G20" s="1">
        <v>1.0</v>
      </c>
      <c r="H20" s="1" t="s">
        <v>4</v>
      </c>
    </row>
    <row r="21">
      <c r="A21" s="1" t="s">
        <v>355</v>
      </c>
      <c r="B21" s="1" t="s">
        <v>5014</v>
      </c>
      <c r="C21" s="1" t="s">
        <v>5803</v>
      </c>
      <c r="D21" s="2">
        <v>46054.0</v>
      </c>
      <c r="E21" s="2">
        <v>46113.0</v>
      </c>
      <c r="F21" s="2">
        <v>46115.0</v>
      </c>
      <c r="G21" s="2">
        <v>46082.0</v>
      </c>
      <c r="H21" s="1" t="s">
        <v>4</v>
      </c>
    </row>
    <row r="22">
      <c r="A22" s="1" t="s">
        <v>355</v>
      </c>
      <c r="B22" s="1" t="s">
        <v>5014</v>
      </c>
      <c r="C22" s="1" t="s">
        <v>5804</v>
      </c>
      <c r="D22" s="2">
        <v>46054.0</v>
      </c>
      <c r="E22" s="2">
        <v>46113.0</v>
      </c>
      <c r="F22" s="2">
        <v>46237.0</v>
      </c>
      <c r="G22" s="2">
        <v>46235.0</v>
      </c>
      <c r="H22" s="1" t="s">
        <v>3</v>
      </c>
    </row>
    <row r="23">
      <c r="A23" s="1" t="s">
        <v>355</v>
      </c>
      <c r="B23" s="1" t="s">
        <v>5014</v>
      </c>
      <c r="C23" s="1" t="s">
        <v>5805</v>
      </c>
      <c r="D23" s="2">
        <v>46082.0</v>
      </c>
      <c r="E23" s="2">
        <v>46054.0</v>
      </c>
      <c r="F23" s="2">
        <v>46266.0</v>
      </c>
      <c r="G23" s="2">
        <v>46268.0</v>
      </c>
      <c r="H23" s="1" t="s">
        <v>3</v>
      </c>
    </row>
    <row r="24">
      <c r="A24" s="1" t="s">
        <v>355</v>
      </c>
      <c r="B24" s="1" t="s">
        <v>5014</v>
      </c>
      <c r="C24" s="1" t="s">
        <v>5806</v>
      </c>
      <c r="D24" s="1" t="s">
        <v>5807</v>
      </c>
      <c r="E24" s="1" t="s">
        <v>5808</v>
      </c>
      <c r="F24" s="1" t="s">
        <v>5809</v>
      </c>
      <c r="G24" s="2">
        <v>46082.0</v>
      </c>
      <c r="H24" s="1" t="s">
        <v>4</v>
      </c>
    </row>
    <row r="25">
      <c r="A25" s="1" t="s">
        <v>355</v>
      </c>
      <c r="B25" s="1" t="s">
        <v>5014</v>
      </c>
      <c r="C25" s="1" t="s">
        <v>5810</v>
      </c>
      <c r="D25" s="1">
        <v>-0.5</v>
      </c>
      <c r="E25" s="1">
        <v>1.5</v>
      </c>
      <c r="F25" s="1">
        <v>0.7</v>
      </c>
      <c r="G25" s="1">
        <v>2.3</v>
      </c>
      <c r="H25" s="1" t="s">
        <v>5</v>
      </c>
    </row>
    <row r="26">
      <c r="A26" s="1" t="s">
        <v>355</v>
      </c>
      <c r="B26" s="1" t="s">
        <v>5014</v>
      </c>
      <c r="C26" s="1" t="s">
        <v>5811</v>
      </c>
      <c r="D26" s="1">
        <v>0.95</v>
      </c>
      <c r="E26" s="1">
        <v>0.05</v>
      </c>
      <c r="F26" s="1">
        <v>1.05</v>
      </c>
      <c r="G26" s="1">
        <v>-0.05</v>
      </c>
      <c r="H26" s="1" t="s">
        <v>3</v>
      </c>
    </row>
    <row r="27">
      <c r="A27" s="1" t="s">
        <v>355</v>
      </c>
      <c r="B27" s="1" t="s">
        <v>5014</v>
      </c>
      <c r="C27" s="1" t="s">
        <v>5812</v>
      </c>
      <c r="D27" s="1">
        <v>0.0</v>
      </c>
      <c r="E27" s="1">
        <v>1.0</v>
      </c>
      <c r="F27" s="2">
        <v>46054.0</v>
      </c>
      <c r="G27" s="2">
        <v>46174.0</v>
      </c>
      <c r="H27" s="1" t="s">
        <v>4</v>
      </c>
    </row>
    <row r="28">
      <c r="A28" s="1" t="s">
        <v>355</v>
      </c>
      <c r="B28" s="1" t="s">
        <v>5014</v>
      </c>
      <c r="C28" s="1" t="s">
        <v>5813</v>
      </c>
      <c r="D28" s="2">
        <v>46235.0</v>
      </c>
      <c r="E28" s="2">
        <v>46241.0</v>
      </c>
      <c r="F28" s="2">
        <v>46237.0</v>
      </c>
      <c r="G28" s="2">
        <v>46054.0</v>
      </c>
      <c r="H28" s="1" t="s">
        <v>4</v>
      </c>
    </row>
    <row r="29">
      <c r="A29" s="1" t="s">
        <v>355</v>
      </c>
      <c r="B29" s="1" t="s">
        <v>5014</v>
      </c>
      <c r="C29" s="1" t="s">
        <v>5814</v>
      </c>
      <c r="D29" s="1" t="s">
        <v>5789</v>
      </c>
      <c r="E29" s="1" t="s">
        <v>5796</v>
      </c>
      <c r="F29" s="1" t="s">
        <v>5795</v>
      </c>
      <c r="G29" s="1" t="s">
        <v>5791</v>
      </c>
      <c r="H29" s="1" t="s">
        <v>3</v>
      </c>
    </row>
    <row r="30">
      <c r="A30" s="1" t="s">
        <v>355</v>
      </c>
      <c r="B30" s="1" t="s">
        <v>5014</v>
      </c>
      <c r="C30" s="1" t="s">
        <v>5815</v>
      </c>
      <c r="D30" s="1">
        <v>-1.0</v>
      </c>
      <c r="E30" s="1">
        <v>0.0</v>
      </c>
      <c r="F30" s="1">
        <v>1.0</v>
      </c>
      <c r="G30" s="1">
        <v>0.1</v>
      </c>
      <c r="H30" s="1" t="s">
        <v>4</v>
      </c>
    </row>
    <row r="31">
      <c r="A31" s="1" t="s">
        <v>355</v>
      </c>
      <c r="B31" s="1" t="s">
        <v>5014</v>
      </c>
      <c r="C31" s="1" t="s">
        <v>5816</v>
      </c>
      <c r="D31" s="1">
        <v>1.0</v>
      </c>
      <c r="E31" s="1">
        <v>2.0</v>
      </c>
      <c r="F31" s="1">
        <v>4.0</v>
      </c>
      <c r="G31" s="1">
        <v>13.0</v>
      </c>
      <c r="H31" s="1" t="s">
        <v>4</v>
      </c>
    </row>
    <row r="32">
      <c r="A32" s="1" t="s">
        <v>355</v>
      </c>
      <c r="B32" s="1" t="s">
        <v>5014</v>
      </c>
      <c r="C32" s="1" t="s">
        <v>5817</v>
      </c>
      <c r="D32" s="2">
        <v>46082.0</v>
      </c>
      <c r="E32" s="2">
        <v>46054.0</v>
      </c>
      <c r="F32" s="2">
        <v>46083.0</v>
      </c>
      <c r="G32" s="2">
        <v>46174.0</v>
      </c>
      <c r="H32" s="1" t="s">
        <v>4</v>
      </c>
    </row>
    <row r="33">
      <c r="A33" s="1" t="s">
        <v>355</v>
      </c>
      <c r="B33" s="1" t="s">
        <v>5014</v>
      </c>
      <c r="C33" s="1" t="s">
        <v>5818</v>
      </c>
      <c r="D33" s="1">
        <v>0.3</v>
      </c>
      <c r="E33" s="1">
        <v>0.7</v>
      </c>
      <c r="F33" s="1">
        <v>0.5</v>
      </c>
      <c r="G33" s="1">
        <v>0.0</v>
      </c>
      <c r="H33" s="1" t="s">
        <v>3</v>
      </c>
    </row>
    <row r="34">
      <c r="A34" s="1" t="s">
        <v>355</v>
      </c>
      <c r="B34" s="1" t="s">
        <v>5014</v>
      </c>
      <c r="C34" s="1" t="s">
        <v>5819</v>
      </c>
      <c r="D34" s="1" t="s">
        <v>5789</v>
      </c>
      <c r="E34" s="1" t="s">
        <v>5795</v>
      </c>
      <c r="F34" s="1" t="s">
        <v>5791</v>
      </c>
      <c r="G34" s="1" t="s">
        <v>5796</v>
      </c>
      <c r="H34" s="1" t="s">
        <v>4</v>
      </c>
    </row>
    <row r="35">
      <c r="A35" s="1" t="s">
        <v>355</v>
      </c>
      <c r="B35" s="1" t="s">
        <v>5014</v>
      </c>
      <c r="C35" s="1" t="s">
        <v>5820</v>
      </c>
      <c r="D35" s="2">
        <v>46270.0</v>
      </c>
      <c r="E35" s="2">
        <v>46269.0</v>
      </c>
      <c r="F35" s="2">
        <v>46054.0</v>
      </c>
      <c r="G35" s="2">
        <v>46117.0</v>
      </c>
      <c r="H35" s="1" t="s">
        <v>3</v>
      </c>
    </row>
    <row r="36">
      <c r="A36" s="1" t="s">
        <v>355</v>
      </c>
      <c r="B36" s="1" t="s">
        <v>5014</v>
      </c>
      <c r="C36" s="1" t="s">
        <v>5821</v>
      </c>
      <c r="D36" s="1" t="s">
        <v>5785</v>
      </c>
      <c r="E36" s="2">
        <v>46174.0</v>
      </c>
      <c r="F36" s="1" t="s">
        <v>5786</v>
      </c>
      <c r="G36" s="2">
        <v>46357.0</v>
      </c>
      <c r="H36" s="1" t="s">
        <v>4</v>
      </c>
    </row>
    <row r="37">
      <c r="A37" s="1" t="s">
        <v>355</v>
      </c>
      <c r="B37" s="1" t="s">
        <v>5014</v>
      </c>
      <c r="C37" s="1" t="s">
        <v>5822</v>
      </c>
      <c r="D37" s="2">
        <v>46054.0</v>
      </c>
      <c r="E37" s="2">
        <v>46082.0</v>
      </c>
      <c r="F37" s="2">
        <v>46083.0</v>
      </c>
      <c r="G37" s="2">
        <v>46113.0</v>
      </c>
      <c r="H37" s="1" t="s">
        <v>4</v>
      </c>
    </row>
    <row r="38">
      <c r="A38" s="1" t="s">
        <v>355</v>
      </c>
      <c r="B38" s="1" t="s">
        <v>5014</v>
      </c>
      <c r="C38" s="1" t="s">
        <v>5823</v>
      </c>
      <c r="D38" s="1">
        <v>0.0</v>
      </c>
      <c r="E38" s="1">
        <v>1.0</v>
      </c>
      <c r="F38" s="1">
        <v>-1.0</v>
      </c>
      <c r="G38" s="1">
        <v>100.0</v>
      </c>
      <c r="H38" s="1" t="s">
        <v>4</v>
      </c>
    </row>
    <row r="39">
      <c r="A39" s="1" t="s">
        <v>355</v>
      </c>
      <c r="B39" s="1" t="s">
        <v>5014</v>
      </c>
      <c r="C39" s="1" t="s">
        <v>5824</v>
      </c>
      <c r="D39" s="2">
        <v>46054.0</v>
      </c>
      <c r="E39" s="2">
        <v>46082.0</v>
      </c>
      <c r="F39" s="2">
        <v>46174.0</v>
      </c>
      <c r="G39" s="2">
        <v>46083.0</v>
      </c>
      <c r="H39" s="1" t="s">
        <v>4</v>
      </c>
    </row>
    <row r="40">
      <c r="A40" s="1" t="s">
        <v>355</v>
      </c>
      <c r="B40" s="1" t="s">
        <v>5014</v>
      </c>
      <c r="C40" s="1" t="s">
        <v>5825</v>
      </c>
      <c r="D40" s="1">
        <v>4.0</v>
      </c>
      <c r="E40" s="1">
        <v>13.0</v>
      </c>
      <c r="F40" s="1">
        <v>26.0</v>
      </c>
      <c r="G40" s="1">
        <v>12.0</v>
      </c>
      <c r="H40" s="1" t="s">
        <v>4</v>
      </c>
    </row>
    <row r="41">
      <c r="A41" s="1" t="s">
        <v>355</v>
      </c>
      <c r="B41" s="1" t="s">
        <v>5014</v>
      </c>
      <c r="C41" s="1" t="s">
        <v>5826</v>
      </c>
      <c r="D41" s="2">
        <v>46113.0</v>
      </c>
      <c r="E41" s="2">
        <v>46054.0</v>
      </c>
      <c r="F41" s="2">
        <v>46115.0</v>
      </c>
      <c r="G41" s="1">
        <v>1.0</v>
      </c>
      <c r="H41" s="1" t="s">
        <v>4</v>
      </c>
    </row>
    <row r="42">
      <c r="A42" s="1" t="s">
        <v>355</v>
      </c>
      <c r="B42" s="1" t="s">
        <v>5014</v>
      </c>
      <c r="C42" s="1" t="s">
        <v>5827</v>
      </c>
      <c r="D42" s="1" t="s">
        <v>5828</v>
      </c>
      <c r="E42" s="1" t="s">
        <v>5829</v>
      </c>
      <c r="F42" s="1" t="s">
        <v>5830</v>
      </c>
      <c r="G42" s="1" t="s">
        <v>5831</v>
      </c>
      <c r="H42" s="1" t="s">
        <v>5</v>
      </c>
    </row>
    <row r="43">
      <c r="A43" s="1" t="s">
        <v>355</v>
      </c>
      <c r="B43" s="1" t="s">
        <v>5014</v>
      </c>
      <c r="C43" s="1" t="s">
        <v>5832</v>
      </c>
      <c r="D43" s="1" t="s">
        <v>5833</v>
      </c>
      <c r="E43" s="1" t="s">
        <v>5834</v>
      </c>
      <c r="F43" s="1" t="s">
        <v>5835</v>
      </c>
      <c r="G43" s="1" t="s">
        <v>5836</v>
      </c>
      <c r="H43" s="1" t="s">
        <v>5</v>
      </c>
    </row>
    <row r="44">
      <c r="A44" s="1" t="s">
        <v>355</v>
      </c>
      <c r="B44" s="1" t="s">
        <v>5014</v>
      </c>
      <c r="C44" s="1" t="s">
        <v>5837</v>
      </c>
      <c r="D44" s="2">
        <v>46204.0</v>
      </c>
      <c r="E44" s="2">
        <v>46205.0</v>
      </c>
      <c r="F44" s="1" t="s">
        <v>5838</v>
      </c>
      <c r="G44" s="1" t="s">
        <v>5839</v>
      </c>
      <c r="H44" s="1" t="s">
        <v>4</v>
      </c>
    </row>
    <row r="45">
      <c r="A45" s="1" t="s">
        <v>355</v>
      </c>
      <c r="B45" s="1" t="s">
        <v>5014</v>
      </c>
      <c r="C45" s="1" t="s">
        <v>5840</v>
      </c>
      <c r="D45" s="1" t="s">
        <v>5795</v>
      </c>
      <c r="E45" s="1" t="s">
        <v>5789</v>
      </c>
      <c r="F45" s="1" t="s">
        <v>5791</v>
      </c>
      <c r="G45" s="1" t="s">
        <v>5841</v>
      </c>
      <c r="H45" s="1" t="s">
        <v>3</v>
      </c>
    </row>
    <row r="46">
      <c r="A46" s="1" t="s">
        <v>355</v>
      </c>
      <c r="B46" s="1" t="s">
        <v>5014</v>
      </c>
      <c r="C46" s="1" t="s">
        <v>5842</v>
      </c>
      <c r="D46" s="2">
        <v>46113.0</v>
      </c>
      <c r="E46" s="2">
        <v>46143.0</v>
      </c>
      <c r="F46" s="1" t="s">
        <v>5843</v>
      </c>
      <c r="G46" s="2">
        <v>46054.0</v>
      </c>
      <c r="H46" s="1" t="s">
        <v>3</v>
      </c>
    </row>
    <row r="47">
      <c r="A47" s="1" t="s">
        <v>355</v>
      </c>
      <c r="B47" s="1" t="s">
        <v>5014</v>
      </c>
      <c r="C47" s="1" t="s">
        <v>5844</v>
      </c>
      <c r="D47" s="13">
        <v>0.25</v>
      </c>
      <c r="E47" s="1">
        <v>0.3</v>
      </c>
      <c r="F47" s="2">
        <v>46085.0</v>
      </c>
      <c r="G47" s="2">
        <v>46115.0</v>
      </c>
      <c r="H47" s="1" t="s">
        <v>5</v>
      </c>
    </row>
    <row r="48">
      <c r="A48" s="1" t="s">
        <v>355</v>
      </c>
      <c r="B48" s="1" t="s">
        <v>5014</v>
      </c>
      <c r="C48" s="1" t="s">
        <v>5845</v>
      </c>
      <c r="D48" s="1" t="s">
        <v>5786</v>
      </c>
      <c r="E48" s="2">
        <v>46174.0</v>
      </c>
      <c r="F48" s="2">
        <v>46266.0</v>
      </c>
      <c r="G48" s="2">
        <v>46357.0</v>
      </c>
      <c r="H48" s="1" t="s">
        <v>3</v>
      </c>
    </row>
    <row r="49">
      <c r="A49" s="1" t="s">
        <v>355</v>
      </c>
      <c r="B49" s="1" t="s">
        <v>5014</v>
      </c>
      <c r="C49" s="1" t="s">
        <v>5846</v>
      </c>
      <c r="D49" s="1" t="s">
        <v>5847</v>
      </c>
      <c r="E49" s="1" t="s">
        <v>5791</v>
      </c>
      <c r="F49" s="1" t="s">
        <v>5848</v>
      </c>
      <c r="G49" s="2">
        <v>46143.0</v>
      </c>
      <c r="H49" s="1" t="s">
        <v>3</v>
      </c>
    </row>
    <row r="50">
      <c r="A50" s="1" t="s">
        <v>355</v>
      </c>
      <c r="B50" s="1" t="s">
        <v>5014</v>
      </c>
      <c r="C50" s="1" t="s">
        <v>5849</v>
      </c>
      <c r="D50" s="1">
        <v>0.0</v>
      </c>
      <c r="E50" s="1">
        <v>1.0</v>
      </c>
      <c r="F50" s="1">
        <v>-1.0</v>
      </c>
      <c r="G50" s="1">
        <v>0.5</v>
      </c>
      <c r="H50" s="1" t="s">
        <v>4</v>
      </c>
    </row>
    <row r="51">
      <c r="A51" s="1" t="s">
        <v>355</v>
      </c>
      <c r="B51" s="1" t="s">
        <v>5014</v>
      </c>
      <c r="C51" s="1" t="s">
        <v>5850</v>
      </c>
      <c r="D51" s="2">
        <v>46235.0</v>
      </c>
      <c r="E51" s="2">
        <v>46237.0</v>
      </c>
      <c r="F51" s="2">
        <v>46241.0</v>
      </c>
      <c r="G51" s="2">
        <v>46054.0</v>
      </c>
      <c r="H51" s="1" t="s">
        <v>3</v>
      </c>
    </row>
    <row r="52">
      <c r="A52" s="1" t="s">
        <v>355</v>
      </c>
      <c r="B52" s="1" t="s">
        <v>5014</v>
      </c>
      <c r="C52" s="1" t="s">
        <v>5851</v>
      </c>
      <c r="D52" s="2">
        <v>46054.0</v>
      </c>
      <c r="E52" s="2">
        <v>46082.0</v>
      </c>
      <c r="F52" s="2">
        <v>46174.0</v>
      </c>
      <c r="G52" s="2">
        <v>46083.0</v>
      </c>
      <c r="H52" s="1" t="s">
        <v>4</v>
      </c>
    </row>
    <row r="53">
      <c r="A53" s="1" t="s">
        <v>355</v>
      </c>
      <c r="B53" s="1" t="s">
        <v>5014</v>
      </c>
      <c r="C53" s="1" t="s">
        <v>5852</v>
      </c>
      <c r="D53" s="2">
        <v>46082.0</v>
      </c>
      <c r="E53" s="2">
        <v>46054.0</v>
      </c>
      <c r="F53" s="2">
        <v>46174.0</v>
      </c>
      <c r="G53" s="2">
        <v>46083.0</v>
      </c>
      <c r="H53" s="1" t="s">
        <v>4</v>
      </c>
    </row>
    <row r="54">
      <c r="A54" s="1" t="s">
        <v>355</v>
      </c>
      <c r="B54" s="1" t="s">
        <v>5014</v>
      </c>
      <c r="C54" s="1" t="s">
        <v>5853</v>
      </c>
      <c r="D54" s="2">
        <v>46113.0</v>
      </c>
      <c r="E54" s="2">
        <v>46054.0</v>
      </c>
      <c r="F54" s="2">
        <v>46082.0</v>
      </c>
      <c r="G54" s="1" t="s">
        <v>5786</v>
      </c>
      <c r="H54" s="1" t="s">
        <v>3</v>
      </c>
    </row>
    <row r="55">
      <c r="A55" s="1" t="s">
        <v>355</v>
      </c>
      <c r="B55" s="1" t="s">
        <v>5014</v>
      </c>
      <c r="C55" s="1" t="s">
        <v>5854</v>
      </c>
      <c r="D55" s="2">
        <v>46174.0</v>
      </c>
      <c r="E55" s="1" t="s">
        <v>5786</v>
      </c>
      <c r="F55" s="2">
        <v>46266.0</v>
      </c>
      <c r="G55" s="2">
        <v>46357.0</v>
      </c>
      <c r="H55" s="1" t="s">
        <v>3</v>
      </c>
    </row>
    <row r="56">
      <c r="A56" s="1" t="s">
        <v>355</v>
      </c>
      <c r="B56" s="1" t="s">
        <v>5014</v>
      </c>
      <c r="C56" s="1" t="s">
        <v>5855</v>
      </c>
      <c r="D56" s="1">
        <v>1.0</v>
      </c>
      <c r="E56" s="1">
        <v>0.0</v>
      </c>
      <c r="F56" s="1" t="s">
        <v>5785</v>
      </c>
      <c r="G56" s="1" t="s">
        <v>5856</v>
      </c>
      <c r="H56" s="1" t="s">
        <v>4</v>
      </c>
    </row>
    <row r="57">
      <c r="A57" s="1" t="s">
        <v>355</v>
      </c>
      <c r="B57" s="1" t="s">
        <v>5014</v>
      </c>
      <c r="C57" s="1" t="s">
        <v>5857</v>
      </c>
      <c r="D57" s="1" t="s">
        <v>5785</v>
      </c>
      <c r="E57" s="1" t="s">
        <v>5856</v>
      </c>
      <c r="F57" s="2">
        <v>46357.0</v>
      </c>
      <c r="G57" s="2">
        <v>46266.0</v>
      </c>
      <c r="H57" s="1" t="s">
        <v>3</v>
      </c>
    </row>
    <row r="58">
      <c r="A58" s="1" t="s">
        <v>355</v>
      </c>
      <c r="B58" s="1" t="s">
        <v>5014</v>
      </c>
      <c r="C58" s="1" t="s">
        <v>5858</v>
      </c>
      <c r="D58" s="2">
        <v>46266.0</v>
      </c>
      <c r="E58" s="2">
        <v>46174.0</v>
      </c>
      <c r="F58" s="1" t="s">
        <v>5786</v>
      </c>
      <c r="G58" s="2">
        <v>46357.0</v>
      </c>
      <c r="H58" s="1" t="s">
        <v>3</v>
      </c>
    </row>
    <row r="59">
      <c r="A59" s="1" t="s">
        <v>355</v>
      </c>
      <c r="B59" s="1" t="s">
        <v>5014</v>
      </c>
      <c r="C59" s="1" t="s">
        <v>5859</v>
      </c>
      <c r="D59" s="2">
        <v>46082.0</v>
      </c>
      <c r="E59" s="2">
        <v>46054.0</v>
      </c>
      <c r="F59" s="2">
        <v>46174.0</v>
      </c>
      <c r="G59" s="2">
        <v>46083.0</v>
      </c>
      <c r="H59" s="1" t="s">
        <v>3</v>
      </c>
    </row>
    <row r="60">
      <c r="A60" s="1" t="s">
        <v>355</v>
      </c>
      <c r="B60" s="1" t="s">
        <v>5014</v>
      </c>
      <c r="C60" s="1" t="s">
        <v>5860</v>
      </c>
      <c r="D60" s="1" t="s">
        <v>5795</v>
      </c>
      <c r="E60" s="1" t="s">
        <v>5791</v>
      </c>
      <c r="F60" s="1" t="s">
        <v>5789</v>
      </c>
      <c r="G60" s="2">
        <v>46113.0</v>
      </c>
      <c r="H60" s="1" t="s">
        <v>3</v>
      </c>
    </row>
    <row r="61">
      <c r="A61" s="1" t="s">
        <v>355</v>
      </c>
      <c r="B61" s="1" t="s">
        <v>5014</v>
      </c>
      <c r="C61" s="1" t="s">
        <v>5861</v>
      </c>
      <c r="D61" s="1">
        <v>4.0</v>
      </c>
      <c r="E61" s="1">
        <v>13.0</v>
      </c>
      <c r="F61" s="1">
        <v>26.0</v>
      </c>
      <c r="G61" s="1">
        <v>12.0</v>
      </c>
      <c r="H61" s="1" t="s">
        <v>4</v>
      </c>
    </row>
    <row r="62">
      <c r="A62" s="1" t="s">
        <v>355</v>
      </c>
      <c r="B62" s="1" t="s">
        <v>5014</v>
      </c>
      <c r="C62" s="1" t="s">
        <v>5862</v>
      </c>
      <c r="D62" s="1" t="s">
        <v>5800</v>
      </c>
      <c r="E62" s="1" t="s">
        <v>5790</v>
      </c>
      <c r="F62" s="1" t="s">
        <v>5863</v>
      </c>
      <c r="G62" s="1" t="s">
        <v>5791</v>
      </c>
      <c r="H62" s="1" t="s">
        <v>3</v>
      </c>
    </row>
    <row r="63">
      <c r="A63" s="1" t="s">
        <v>355</v>
      </c>
      <c r="B63" s="1" t="s">
        <v>5014</v>
      </c>
      <c r="C63" s="1" t="s">
        <v>5864</v>
      </c>
      <c r="D63" s="2">
        <v>46113.0</v>
      </c>
      <c r="E63" s="2">
        <v>46115.0</v>
      </c>
      <c r="F63" s="2">
        <v>46054.0</v>
      </c>
      <c r="G63" s="1" t="s">
        <v>5789</v>
      </c>
      <c r="H63" s="1" t="s">
        <v>4</v>
      </c>
    </row>
    <row r="64">
      <c r="A64" s="1" t="s">
        <v>355</v>
      </c>
      <c r="B64" s="1" t="s">
        <v>5014</v>
      </c>
      <c r="C64" s="1" t="s">
        <v>5865</v>
      </c>
      <c r="D64" s="1">
        <v>12.0</v>
      </c>
      <c r="E64" s="1">
        <v>16.0</v>
      </c>
      <c r="F64" s="1">
        <v>4.0</v>
      </c>
      <c r="G64" s="1">
        <v>8.0</v>
      </c>
      <c r="H64" s="1" t="s">
        <v>4</v>
      </c>
    </row>
    <row r="65">
      <c r="A65" s="1" t="s">
        <v>355</v>
      </c>
      <c r="B65" s="1" t="s">
        <v>5014</v>
      </c>
      <c r="C65" s="1" t="s">
        <v>5866</v>
      </c>
      <c r="D65" s="1" t="s">
        <v>5795</v>
      </c>
      <c r="E65" s="1" t="s">
        <v>5791</v>
      </c>
      <c r="F65" s="1" t="s">
        <v>5789</v>
      </c>
      <c r="G65" s="2">
        <v>46113.0</v>
      </c>
      <c r="H65" s="1" t="s">
        <v>3</v>
      </c>
    </row>
    <row r="66">
      <c r="A66" s="1" t="s">
        <v>355</v>
      </c>
      <c r="B66" s="1" t="s">
        <v>5014</v>
      </c>
      <c r="C66" s="1" t="s">
        <v>5867</v>
      </c>
      <c r="D66" s="1" t="s">
        <v>5789</v>
      </c>
      <c r="E66" s="2">
        <v>46357.0</v>
      </c>
      <c r="F66" s="1" t="s">
        <v>5868</v>
      </c>
      <c r="G66" s="1" t="s">
        <v>5795</v>
      </c>
      <c r="H66" s="1" t="s">
        <v>4</v>
      </c>
    </row>
    <row r="67">
      <c r="A67" s="1" t="s">
        <v>355</v>
      </c>
      <c r="B67" s="1" t="s">
        <v>5014</v>
      </c>
      <c r="C67" s="1" t="s">
        <v>5869</v>
      </c>
      <c r="D67" s="2">
        <v>46113.0</v>
      </c>
      <c r="E67" s="2">
        <v>46054.0</v>
      </c>
      <c r="F67" s="2">
        <v>46115.0</v>
      </c>
      <c r="G67" s="1">
        <v>1.0</v>
      </c>
      <c r="H67" s="1" t="s">
        <v>5</v>
      </c>
    </row>
    <row r="68">
      <c r="A68" s="1" t="s">
        <v>355</v>
      </c>
      <c r="B68" s="1" t="s">
        <v>5014</v>
      </c>
      <c r="C68" s="1" t="s">
        <v>5870</v>
      </c>
      <c r="D68" s="2">
        <v>46113.0</v>
      </c>
      <c r="E68" s="2">
        <v>46115.0</v>
      </c>
      <c r="F68" s="2">
        <v>46054.0</v>
      </c>
      <c r="G68" s="1">
        <v>1.0</v>
      </c>
      <c r="H68" s="1" t="s">
        <v>4</v>
      </c>
    </row>
    <row r="69">
      <c r="A69" s="1" t="s">
        <v>355</v>
      </c>
      <c r="B69" s="1" t="s">
        <v>5014</v>
      </c>
      <c r="C69" s="1" t="s">
        <v>5871</v>
      </c>
      <c r="D69" s="2">
        <v>46235.0</v>
      </c>
      <c r="E69" s="2">
        <v>46237.0</v>
      </c>
      <c r="F69" s="2">
        <v>46054.0</v>
      </c>
      <c r="G69" s="2">
        <v>46239.0</v>
      </c>
      <c r="H69" s="1" t="s">
        <v>4</v>
      </c>
    </row>
    <row r="70">
      <c r="A70" s="1" t="s">
        <v>355</v>
      </c>
      <c r="B70" s="1" t="s">
        <v>5014</v>
      </c>
      <c r="C70" s="1" t="s">
        <v>5872</v>
      </c>
      <c r="D70" s="2">
        <v>46113.0</v>
      </c>
      <c r="E70" s="2">
        <v>46235.0</v>
      </c>
      <c r="F70" s="2">
        <v>46054.0</v>
      </c>
      <c r="G70" s="2">
        <v>46237.0</v>
      </c>
      <c r="H70" s="1" t="s">
        <v>3</v>
      </c>
    </row>
    <row r="71">
      <c r="A71" s="1" t="s">
        <v>355</v>
      </c>
      <c r="B71" s="1" t="s">
        <v>5014</v>
      </c>
      <c r="C71" s="1" t="s">
        <v>5873</v>
      </c>
      <c r="D71" s="2">
        <v>46054.0</v>
      </c>
      <c r="E71" s="2">
        <v>46174.0</v>
      </c>
      <c r="F71" s="2">
        <v>46357.0</v>
      </c>
      <c r="G71" s="2">
        <v>46235.0</v>
      </c>
      <c r="H71" s="1" t="s">
        <v>5</v>
      </c>
    </row>
    <row r="72">
      <c r="A72" s="1" t="s">
        <v>355</v>
      </c>
      <c r="B72" s="1" t="s">
        <v>5014</v>
      </c>
      <c r="C72" s="1" t="s">
        <v>5874</v>
      </c>
      <c r="D72" s="1" t="s">
        <v>5875</v>
      </c>
      <c r="E72" s="1" t="s">
        <v>5876</v>
      </c>
      <c r="F72" s="2">
        <v>46239.0</v>
      </c>
      <c r="G72" s="2">
        <v>46113.0</v>
      </c>
      <c r="H72" s="1" t="s">
        <v>3</v>
      </c>
    </row>
    <row r="73">
      <c r="A73" s="1" t="s">
        <v>355</v>
      </c>
      <c r="B73" s="1" t="s">
        <v>5014</v>
      </c>
      <c r="C73" s="1" t="s">
        <v>5877</v>
      </c>
      <c r="D73" s="2">
        <v>46327.0</v>
      </c>
      <c r="E73" s="2">
        <v>46328.0</v>
      </c>
      <c r="F73" s="2">
        <v>46143.0</v>
      </c>
      <c r="G73" s="2">
        <v>46144.0</v>
      </c>
      <c r="H73" s="1" t="s">
        <v>4</v>
      </c>
    </row>
    <row r="74">
      <c r="A74" s="1" t="s">
        <v>355</v>
      </c>
      <c r="B74" s="1" t="s">
        <v>5014</v>
      </c>
      <c r="C74" s="1" t="s">
        <v>5878</v>
      </c>
      <c r="D74" s="1" t="s">
        <v>5863</v>
      </c>
      <c r="E74" s="1" t="s">
        <v>5879</v>
      </c>
      <c r="F74" s="2">
        <v>46054.0</v>
      </c>
      <c r="G74" s="1" t="s">
        <v>5830</v>
      </c>
      <c r="H74" s="1" t="s">
        <v>3</v>
      </c>
    </row>
    <row r="75">
      <c r="A75" s="1" t="s">
        <v>355</v>
      </c>
      <c r="B75" s="1" t="s">
        <v>5014</v>
      </c>
      <c r="C75" s="1" t="s">
        <v>5880</v>
      </c>
      <c r="D75" s="2">
        <v>46143.0</v>
      </c>
      <c r="E75" s="1" t="s">
        <v>5881</v>
      </c>
      <c r="F75" s="1" t="s">
        <v>5882</v>
      </c>
      <c r="G75" s="1" t="s">
        <v>5843</v>
      </c>
      <c r="H75" s="1" t="s">
        <v>3</v>
      </c>
    </row>
    <row r="76">
      <c r="A76" s="1" t="s">
        <v>355</v>
      </c>
      <c r="B76" s="1" t="s">
        <v>5014</v>
      </c>
      <c r="C76" s="1" t="s">
        <v>5883</v>
      </c>
      <c r="D76" s="2">
        <v>46204.0</v>
      </c>
      <c r="E76" s="2">
        <v>46205.0</v>
      </c>
      <c r="F76" s="1" t="s">
        <v>5884</v>
      </c>
      <c r="G76" s="1">
        <v>0.0</v>
      </c>
      <c r="H76" s="1" t="s">
        <v>3</v>
      </c>
    </row>
    <row r="77">
      <c r="A77" s="1" t="s">
        <v>355</v>
      </c>
      <c r="B77" s="1" t="s">
        <v>5014</v>
      </c>
      <c r="C77" s="1" t="s">
        <v>5885</v>
      </c>
      <c r="D77" s="1">
        <v>0.92</v>
      </c>
      <c r="E77" s="1">
        <v>0.02</v>
      </c>
      <c r="F77" s="1">
        <v>0.8</v>
      </c>
      <c r="G77" s="1">
        <v>0.08</v>
      </c>
      <c r="H77" s="1" t="s">
        <v>3</v>
      </c>
    </row>
    <row r="78">
      <c r="A78" s="1" t="s">
        <v>355</v>
      </c>
      <c r="B78" s="1" t="s">
        <v>5014</v>
      </c>
      <c r="C78" s="1" t="s">
        <v>5886</v>
      </c>
      <c r="D78" s="1">
        <v>1.001</v>
      </c>
      <c r="E78" s="1">
        <v>1.5</v>
      </c>
      <c r="F78" s="2">
        <v>46056.0</v>
      </c>
      <c r="G78" s="1">
        <v>0.99</v>
      </c>
      <c r="H78" s="1" t="s">
        <v>6</v>
      </c>
    </row>
    <row r="79">
      <c r="A79" s="1" t="s">
        <v>355</v>
      </c>
      <c r="B79" s="1" t="s">
        <v>5014</v>
      </c>
      <c r="C79" s="1" t="s">
        <v>5887</v>
      </c>
      <c r="D79" s="2">
        <v>46267.0</v>
      </c>
      <c r="E79" s="2">
        <v>46082.0</v>
      </c>
      <c r="F79" s="2">
        <v>46269.0</v>
      </c>
      <c r="G79" s="2">
        <v>46266.0</v>
      </c>
      <c r="H79" s="1" t="s">
        <v>3</v>
      </c>
    </row>
    <row r="80">
      <c r="A80" s="1" t="s">
        <v>355</v>
      </c>
      <c r="B80" s="1" t="s">
        <v>5014</v>
      </c>
      <c r="C80" s="1" t="s">
        <v>5888</v>
      </c>
      <c r="D80" s="2">
        <v>46271.0</v>
      </c>
      <c r="E80" s="2">
        <v>46083.0</v>
      </c>
      <c r="F80" s="2">
        <v>46082.0</v>
      </c>
      <c r="G80" s="2">
        <v>46268.0</v>
      </c>
      <c r="H80" s="1" t="s">
        <v>4</v>
      </c>
    </row>
    <row r="81">
      <c r="A81" s="1" t="s">
        <v>355</v>
      </c>
      <c r="B81" s="1" t="s">
        <v>5014</v>
      </c>
      <c r="C81" s="1" t="s">
        <v>5889</v>
      </c>
      <c r="D81" s="1" t="s">
        <v>5881</v>
      </c>
      <c r="E81" s="1" t="s">
        <v>5890</v>
      </c>
      <c r="F81" s="1" t="s">
        <v>5891</v>
      </c>
      <c r="G81" s="1" t="s">
        <v>5892</v>
      </c>
      <c r="H81" s="1" t="s">
        <v>3</v>
      </c>
    </row>
    <row r="82">
      <c r="A82" s="1" t="s">
        <v>355</v>
      </c>
      <c r="B82" s="1" t="s">
        <v>5014</v>
      </c>
      <c r="C82" s="1" t="s">
        <v>5893</v>
      </c>
      <c r="D82" s="1">
        <v>2.0</v>
      </c>
      <c r="E82" s="1">
        <v>4.0</v>
      </c>
      <c r="F82" s="1">
        <v>13.0</v>
      </c>
      <c r="G82" s="1">
        <v>1.0</v>
      </c>
      <c r="H82" s="1" t="s">
        <v>4</v>
      </c>
    </row>
    <row r="83">
      <c r="A83" s="1" t="s">
        <v>355</v>
      </c>
      <c r="B83" s="1" t="s">
        <v>5014</v>
      </c>
      <c r="C83" s="1" t="s">
        <v>5894</v>
      </c>
      <c r="D83" s="1" t="s">
        <v>5895</v>
      </c>
      <c r="E83" s="1" t="s">
        <v>5896</v>
      </c>
      <c r="F83" s="1" t="s">
        <v>5897</v>
      </c>
      <c r="G83" s="1" t="s">
        <v>5898</v>
      </c>
      <c r="H83" s="1" t="s">
        <v>4</v>
      </c>
    </row>
    <row r="84">
      <c r="A84" s="1" t="s">
        <v>355</v>
      </c>
      <c r="B84" s="1" t="s">
        <v>5014</v>
      </c>
      <c r="C84" s="1" t="s">
        <v>5899</v>
      </c>
      <c r="D84" s="2">
        <v>46054.0</v>
      </c>
      <c r="E84" s="2">
        <v>46082.0</v>
      </c>
      <c r="F84" s="2">
        <v>46083.0</v>
      </c>
      <c r="G84" s="2">
        <v>46174.0</v>
      </c>
      <c r="H84" s="1" t="s">
        <v>3</v>
      </c>
    </row>
    <row r="85">
      <c r="A85" s="1" t="s">
        <v>355</v>
      </c>
      <c r="B85" s="1" t="s">
        <v>5014</v>
      </c>
      <c r="C85" s="1" t="s">
        <v>5900</v>
      </c>
      <c r="D85" s="1" t="s">
        <v>5785</v>
      </c>
      <c r="E85" s="1" t="s">
        <v>5856</v>
      </c>
      <c r="F85" s="2">
        <v>46174.0</v>
      </c>
      <c r="G85" s="2">
        <v>46357.0</v>
      </c>
      <c r="H85" s="1" t="s">
        <v>3</v>
      </c>
    </row>
    <row r="86">
      <c r="A86" s="1" t="s">
        <v>355</v>
      </c>
      <c r="B86" s="1" t="s">
        <v>5014</v>
      </c>
      <c r="C86" s="1" t="s">
        <v>5901</v>
      </c>
      <c r="D86" s="1" t="s">
        <v>5828</v>
      </c>
      <c r="E86" s="1" t="s">
        <v>5902</v>
      </c>
      <c r="F86" s="2">
        <v>46054.0</v>
      </c>
      <c r="G86" s="2">
        <v>46113.0</v>
      </c>
      <c r="H86" s="1" t="s">
        <v>3</v>
      </c>
    </row>
    <row r="87">
      <c r="A87" s="1" t="s">
        <v>355</v>
      </c>
      <c r="B87" s="1" t="s">
        <v>5014</v>
      </c>
      <c r="C87" s="1" t="s">
        <v>5903</v>
      </c>
      <c r="D87" s="2">
        <v>46235.0</v>
      </c>
      <c r="E87" s="2">
        <v>46241.0</v>
      </c>
      <c r="F87" s="2">
        <v>46113.0</v>
      </c>
      <c r="G87" s="2">
        <v>46054.0</v>
      </c>
      <c r="H87" s="1" t="s">
        <v>3</v>
      </c>
    </row>
    <row r="88">
      <c r="A88" s="1" t="s">
        <v>355</v>
      </c>
      <c r="B88" s="1" t="s">
        <v>5014</v>
      </c>
      <c r="C88" s="1" t="s">
        <v>5904</v>
      </c>
      <c r="D88" s="1">
        <v>0.0</v>
      </c>
      <c r="E88" s="1">
        <v>1.0</v>
      </c>
      <c r="F88" s="2">
        <v>46143.0</v>
      </c>
      <c r="G88" s="2">
        <v>46054.0</v>
      </c>
      <c r="H88" s="1" t="s">
        <v>3</v>
      </c>
    </row>
    <row r="89">
      <c r="A89" s="1" t="s">
        <v>355</v>
      </c>
      <c r="B89" s="1" t="s">
        <v>5014</v>
      </c>
      <c r="C89" s="1" t="s">
        <v>5905</v>
      </c>
      <c r="D89" s="1">
        <v>0.0</v>
      </c>
      <c r="E89" s="1">
        <v>1.0</v>
      </c>
      <c r="F89" s="1">
        <v>-1.0</v>
      </c>
      <c r="G89" s="1" t="s">
        <v>5906</v>
      </c>
      <c r="H89" s="1" t="s">
        <v>3</v>
      </c>
    </row>
    <row r="90">
      <c r="A90" s="1" t="s">
        <v>355</v>
      </c>
      <c r="B90" s="1" t="s">
        <v>5014</v>
      </c>
      <c r="C90" s="1" t="s">
        <v>5907</v>
      </c>
      <c r="D90" s="1" t="s">
        <v>5884</v>
      </c>
      <c r="E90" s="1" t="s">
        <v>5908</v>
      </c>
      <c r="F90" s="1" t="s">
        <v>5909</v>
      </c>
      <c r="G90" s="1">
        <v>1.0</v>
      </c>
      <c r="H90" s="1" t="s">
        <v>3</v>
      </c>
    </row>
    <row r="91">
      <c r="A91" s="1" t="s">
        <v>355</v>
      </c>
      <c r="B91" s="1" t="s">
        <v>5014</v>
      </c>
      <c r="C91" s="1" t="s">
        <v>5910</v>
      </c>
      <c r="D91" s="1" t="s">
        <v>5909</v>
      </c>
      <c r="E91" s="1" t="s">
        <v>5884</v>
      </c>
      <c r="F91" s="1">
        <v>1.0</v>
      </c>
      <c r="G91" s="1">
        <v>0.0</v>
      </c>
      <c r="H91" s="1" t="s">
        <v>3</v>
      </c>
    </row>
    <row r="92">
      <c r="A92" s="1" t="s">
        <v>355</v>
      </c>
      <c r="B92" s="1" t="s">
        <v>5014</v>
      </c>
      <c r="C92" s="1" t="s">
        <v>5911</v>
      </c>
      <c r="D92" s="2">
        <v>46174.0</v>
      </c>
      <c r="E92" s="2">
        <v>46082.0</v>
      </c>
      <c r="F92" s="2">
        <v>46054.0</v>
      </c>
      <c r="G92" s="2">
        <v>46113.0</v>
      </c>
      <c r="H92" s="1" t="s">
        <v>3</v>
      </c>
    </row>
    <row r="93">
      <c r="A93" s="1" t="s">
        <v>355</v>
      </c>
      <c r="B93" s="1" t="s">
        <v>5014</v>
      </c>
      <c r="C93" s="1" t="s">
        <v>5912</v>
      </c>
      <c r="D93" s="2">
        <v>46054.0</v>
      </c>
      <c r="E93" s="2">
        <v>46113.0</v>
      </c>
      <c r="F93" s="1" t="s">
        <v>5789</v>
      </c>
      <c r="G93" s="1" t="s">
        <v>5791</v>
      </c>
      <c r="H93" s="1" t="s">
        <v>3</v>
      </c>
    </row>
    <row r="94">
      <c r="A94" s="1" t="s">
        <v>355</v>
      </c>
      <c r="B94" s="1" t="s">
        <v>5014</v>
      </c>
      <c r="C94" s="1" t="s">
        <v>5913</v>
      </c>
      <c r="D94" s="1">
        <v>0.995</v>
      </c>
      <c r="E94" s="1">
        <v>0.005</v>
      </c>
      <c r="F94" s="1">
        <v>0.95</v>
      </c>
      <c r="G94" s="1">
        <v>0.5</v>
      </c>
      <c r="H94" s="1" t="s">
        <v>3</v>
      </c>
    </row>
    <row r="95">
      <c r="A95" s="1" t="s">
        <v>355</v>
      </c>
      <c r="B95" s="1" t="s">
        <v>5014</v>
      </c>
      <c r="C95" s="1" t="s">
        <v>5914</v>
      </c>
      <c r="D95" s="2">
        <v>46143.0</v>
      </c>
      <c r="E95" s="1" t="s">
        <v>5915</v>
      </c>
      <c r="F95" s="2">
        <v>46082.0</v>
      </c>
      <c r="G95" s="1" t="s">
        <v>5916</v>
      </c>
      <c r="H95" s="1" t="s">
        <v>3</v>
      </c>
    </row>
    <row r="96">
      <c r="A96" s="1" t="s">
        <v>355</v>
      </c>
      <c r="B96" s="1" t="s">
        <v>5014</v>
      </c>
      <c r="C96" s="1" t="s">
        <v>5917</v>
      </c>
      <c r="D96" s="2">
        <v>46143.0</v>
      </c>
      <c r="E96" s="2">
        <v>46236.0</v>
      </c>
      <c r="F96" s="2">
        <v>46146.0</v>
      </c>
      <c r="G96" s="2">
        <v>46113.0</v>
      </c>
      <c r="H96" s="1" t="s">
        <v>3</v>
      </c>
    </row>
    <row r="97">
      <c r="A97" s="1" t="s">
        <v>355</v>
      </c>
      <c r="B97" s="1" t="s">
        <v>5014</v>
      </c>
      <c r="C97" s="1" t="s">
        <v>5918</v>
      </c>
      <c r="D97" s="1" t="s">
        <v>5791</v>
      </c>
      <c r="E97" s="1" t="s">
        <v>5919</v>
      </c>
      <c r="F97" s="1" t="s">
        <v>5789</v>
      </c>
      <c r="G97" s="1" t="s">
        <v>5795</v>
      </c>
      <c r="H97" s="1" t="s">
        <v>3</v>
      </c>
    </row>
    <row r="98">
      <c r="A98" s="1" t="s">
        <v>355</v>
      </c>
      <c r="B98" s="1" t="s">
        <v>5014</v>
      </c>
      <c r="C98" s="1" t="s">
        <v>5920</v>
      </c>
      <c r="D98" s="2">
        <v>46237.0</v>
      </c>
      <c r="E98" s="2">
        <v>46235.0</v>
      </c>
      <c r="F98" s="2">
        <v>46054.0</v>
      </c>
      <c r="G98" s="2">
        <v>46239.0</v>
      </c>
      <c r="H98" s="1" t="s">
        <v>3</v>
      </c>
    </row>
    <row r="99">
      <c r="A99" s="1" t="s">
        <v>355</v>
      </c>
      <c r="B99" s="1" t="s">
        <v>5014</v>
      </c>
      <c r="C99" s="1" t="s">
        <v>5921</v>
      </c>
      <c r="D99" s="2">
        <v>46266.0</v>
      </c>
      <c r="E99" s="1" t="s">
        <v>5922</v>
      </c>
      <c r="F99" s="2">
        <v>46357.0</v>
      </c>
      <c r="G99" s="2">
        <v>46174.0</v>
      </c>
      <c r="H99" s="1" t="s">
        <v>3</v>
      </c>
    </row>
    <row r="100">
      <c r="A100" s="1" t="s">
        <v>355</v>
      </c>
      <c r="B100" s="1" t="s">
        <v>5014</v>
      </c>
      <c r="C100" s="1" t="s">
        <v>5923</v>
      </c>
      <c r="D100" s="2">
        <v>46143.0</v>
      </c>
      <c r="E100" s="2">
        <v>46054.0</v>
      </c>
      <c r="F100" s="2">
        <v>46113.0</v>
      </c>
      <c r="G100" s="2">
        <v>46296.0</v>
      </c>
      <c r="H100" s="1" t="s">
        <v>3</v>
      </c>
    </row>
    <row r="101">
      <c r="A101" s="1" t="s">
        <v>355</v>
      </c>
      <c r="B101" s="1" t="s">
        <v>5014</v>
      </c>
      <c r="C101" s="1" t="s">
        <v>5924</v>
      </c>
      <c r="D101" s="2">
        <v>46330.0</v>
      </c>
      <c r="E101" s="2">
        <v>46329.0</v>
      </c>
      <c r="F101" s="2">
        <v>46333.0</v>
      </c>
      <c r="G101" s="2">
        <v>46327.0</v>
      </c>
      <c r="H101" s="1" t="s">
        <v>3</v>
      </c>
    </row>
    <row r="102">
      <c r="A102" s="1" t="s">
        <v>355</v>
      </c>
      <c r="B102" s="1" t="s">
        <v>5014</v>
      </c>
      <c r="C102" s="1" t="s">
        <v>5925</v>
      </c>
      <c r="D102" s="2">
        <v>46174.0</v>
      </c>
      <c r="E102" s="2">
        <v>46178.0</v>
      </c>
      <c r="F102" s="1">
        <v>1.0</v>
      </c>
      <c r="G102" s="1">
        <v>0.0</v>
      </c>
      <c r="H102" s="1" t="s">
        <v>3</v>
      </c>
    </row>
    <row r="103">
      <c r="A103" s="1" t="s">
        <v>355</v>
      </c>
      <c r="B103" s="1" t="s">
        <v>5014</v>
      </c>
      <c r="C103" s="1" t="s">
        <v>5926</v>
      </c>
      <c r="D103" s="2">
        <v>46054.0</v>
      </c>
      <c r="E103" s="2">
        <v>46300.0</v>
      </c>
      <c r="F103" s="2">
        <v>46299.0</v>
      </c>
      <c r="G103" s="2">
        <v>46298.0</v>
      </c>
      <c r="H103" s="1" t="s">
        <v>3</v>
      </c>
    </row>
    <row r="104">
      <c r="A104" s="1" t="s">
        <v>355</v>
      </c>
      <c r="B104" s="1" t="s">
        <v>5014</v>
      </c>
      <c r="C104" s="1" t="s">
        <v>5927</v>
      </c>
      <c r="D104" s="1">
        <v>0.0</v>
      </c>
      <c r="E104" s="2">
        <v>46174.0</v>
      </c>
      <c r="F104" s="2">
        <v>46082.0</v>
      </c>
      <c r="G104" s="2">
        <v>46054.0</v>
      </c>
      <c r="H104" s="1" t="s">
        <v>3</v>
      </c>
    </row>
    <row r="105">
      <c r="A105" s="1" t="s">
        <v>355</v>
      </c>
      <c r="B105" s="1" t="s">
        <v>5014</v>
      </c>
      <c r="C105" s="1" t="s">
        <v>5928</v>
      </c>
      <c r="D105" s="1">
        <v>16.0</v>
      </c>
      <c r="E105" s="1">
        <v>12.0</v>
      </c>
      <c r="F105" s="1">
        <v>20.0</v>
      </c>
      <c r="G105" s="1">
        <v>4.0</v>
      </c>
      <c r="H105" s="1" t="s">
        <v>3</v>
      </c>
    </row>
    <row r="106">
      <c r="A106" s="1" t="s">
        <v>355</v>
      </c>
      <c r="B106" s="1" t="s">
        <v>5014</v>
      </c>
      <c r="C106" s="1" t="s">
        <v>5929</v>
      </c>
      <c r="D106" s="2">
        <v>46054.0</v>
      </c>
      <c r="E106" s="2">
        <v>46082.0</v>
      </c>
      <c r="F106" s="2">
        <v>46174.0</v>
      </c>
      <c r="G106" s="2">
        <v>46083.0</v>
      </c>
      <c r="H106" s="1" t="s">
        <v>3</v>
      </c>
    </row>
    <row r="107">
      <c r="A107" s="1" t="s">
        <v>355</v>
      </c>
      <c r="B107" s="1" t="s">
        <v>5014</v>
      </c>
      <c r="C107" s="1" t="s">
        <v>5930</v>
      </c>
      <c r="D107" s="2">
        <v>46178.0</v>
      </c>
      <c r="E107" s="2">
        <v>46174.0</v>
      </c>
      <c r="F107" s="1" t="s">
        <v>5931</v>
      </c>
      <c r="G107" s="2">
        <v>46054.0</v>
      </c>
      <c r="H107" s="1" t="s">
        <v>3</v>
      </c>
    </row>
    <row r="108">
      <c r="A108" s="1" t="s">
        <v>355</v>
      </c>
      <c r="B108" s="1" t="s">
        <v>5014</v>
      </c>
      <c r="C108" s="1" t="s">
        <v>5932</v>
      </c>
      <c r="D108" s="1" t="s">
        <v>5795</v>
      </c>
      <c r="E108" s="1" t="s">
        <v>5791</v>
      </c>
      <c r="F108" s="1" t="s">
        <v>5789</v>
      </c>
      <c r="G108" s="2">
        <v>46113.0</v>
      </c>
      <c r="H108" s="1" t="s">
        <v>3</v>
      </c>
    </row>
    <row r="109">
      <c r="A109" s="1" t="s">
        <v>355</v>
      </c>
      <c r="B109" s="1" t="s">
        <v>5014</v>
      </c>
      <c r="C109" s="1" t="s">
        <v>5933</v>
      </c>
      <c r="D109" s="2">
        <v>46304.0</v>
      </c>
      <c r="E109" s="2">
        <v>46296.0</v>
      </c>
      <c r="F109" s="1" t="s">
        <v>5934</v>
      </c>
      <c r="G109" s="2">
        <v>46054.0</v>
      </c>
      <c r="H109" s="1" t="s">
        <v>3</v>
      </c>
    </row>
    <row r="110">
      <c r="A110" s="1" t="s">
        <v>355</v>
      </c>
      <c r="B110" s="1" t="s">
        <v>5014</v>
      </c>
      <c r="C110" s="1" t="s">
        <v>5935</v>
      </c>
      <c r="D110" s="1" t="s">
        <v>5791</v>
      </c>
      <c r="E110" s="1" t="s">
        <v>5919</v>
      </c>
      <c r="F110" s="1" t="s">
        <v>5789</v>
      </c>
      <c r="G110" s="1" t="s">
        <v>5795</v>
      </c>
      <c r="H110" s="1" t="s">
        <v>3</v>
      </c>
    </row>
    <row r="111">
      <c r="A111" s="1" t="s">
        <v>355</v>
      </c>
      <c r="B111" s="1" t="s">
        <v>5014</v>
      </c>
      <c r="C111" s="1" t="s">
        <v>5936</v>
      </c>
      <c r="D111" s="2">
        <v>46054.0</v>
      </c>
      <c r="E111" s="2">
        <v>46143.0</v>
      </c>
      <c r="F111" s="2">
        <v>46144.0</v>
      </c>
      <c r="G111" s="2">
        <v>46298.0</v>
      </c>
      <c r="H111" s="1" t="s">
        <v>3</v>
      </c>
    </row>
    <row r="112">
      <c r="A112" s="1" t="s">
        <v>355</v>
      </c>
      <c r="B112" s="1" t="s">
        <v>5014</v>
      </c>
      <c r="C112" s="1" t="s">
        <v>5937</v>
      </c>
      <c r="D112" s="1" t="s">
        <v>5938</v>
      </c>
      <c r="E112" s="1" t="s">
        <v>5939</v>
      </c>
      <c r="F112" s="1" t="s">
        <v>5940</v>
      </c>
      <c r="G112" s="1" t="s">
        <v>5941</v>
      </c>
      <c r="H112" s="1" t="s">
        <v>3</v>
      </c>
    </row>
    <row r="113">
      <c r="A113" s="1" t="s">
        <v>355</v>
      </c>
      <c r="B113" s="1" t="s">
        <v>5014</v>
      </c>
      <c r="C113" s="1" t="s">
        <v>5942</v>
      </c>
      <c r="D113" s="1" t="s">
        <v>5943</v>
      </c>
      <c r="E113" s="1" t="s">
        <v>5944</v>
      </c>
      <c r="F113" s="1" t="s">
        <v>5945</v>
      </c>
      <c r="G113" s="1" t="s">
        <v>5946</v>
      </c>
      <c r="H113" s="1" t="s">
        <v>3</v>
      </c>
    </row>
    <row r="114">
      <c r="A114" s="1" t="s">
        <v>355</v>
      </c>
      <c r="B114" s="1" t="s">
        <v>5014</v>
      </c>
      <c r="C114" s="1" t="s">
        <v>5947</v>
      </c>
      <c r="D114" s="1" t="s">
        <v>5785</v>
      </c>
      <c r="E114" s="1" t="s">
        <v>5856</v>
      </c>
      <c r="F114" s="2">
        <v>46357.0</v>
      </c>
      <c r="G114" s="2">
        <v>46174.0</v>
      </c>
      <c r="H114" s="1" t="s">
        <v>3</v>
      </c>
    </row>
    <row r="115">
      <c r="A115" s="1" t="s">
        <v>355</v>
      </c>
      <c r="B115" s="1" t="s">
        <v>5014</v>
      </c>
      <c r="C115" s="1" t="s">
        <v>5948</v>
      </c>
      <c r="D115" s="2">
        <v>46239.0</v>
      </c>
      <c r="E115" s="2">
        <v>46237.0</v>
      </c>
      <c r="F115" s="2">
        <v>46054.0</v>
      </c>
      <c r="G115" s="2">
        <v>46113.0</v>
      </c>
      <c r="H115" s="1" t="s">
        <v>3</v>
      </c>
    </row>
    <row r="116">
      <c r="A116" s="1" t="s">
        <v>355</v>
      </c>
      <c r="B116" s="1" t="s">
        <v>5014</v>
      </c>
      <c r="C116" s="1" t="s">
        <v>5949</v>
      </c>
      <c r="D116" s="1" t="s">
        <v>5950</v>
      </c>
      <c r="E116" s="1" t="s">
        <v>5951</v>
      </c>
      <c r="F116" s="1" t="s">
        <v>5952</v>
      </c>
      <c r="G116" s="1" t="s">
        <v>5506</v>
      </c>
      <c r="H116" s="1" t="s">
        <v>3</v>
      </c>
    </row>
    <row r="117">
      <c r="A117" s="1" t="s">
        <v>355</v>
      </c>
      <c r="B117" s="1" t="s">
        <v>5014</v>
      </c>
      <c r="C117" s="1" t="s">
        <v>5953</v>
      </c>
      <c r="D117" s="1" t="s">
        <v>5791</v>
      </c>
      <c r="E117" s="1" t="s">
        <v>5919</v>
      </c>
      <c r="F117" s="1" t="s">
        <v>5789</v>
      </c>
      <c r="G117" s="1" t="s">
        <v>5795</v>
      </c>
      <c r="H117" s="1" t="s">
        <v>3</v>
      </c>
    </row>
    <row r="118">
      <c r="A118" s="1" t="s">
        <v>355</v>
      </c>
      <c r="B118" s="1" t="s">
        <v>5014</v>
      </c>
      <c r="C118" s="1" t="s">
        <v>5954</v>
      </c>
      <c r="D118" s="2">
        <v>46204.0</v>
      </c>
      <c r="E118" s="2">
        <v>46205.0</v>
      </c>
      <c r="F118" s="2">
        <v>46206.0</v>
      </c>
      <c r="G118" s="1">
        <v>0.0</v>
      </c>
      <c r="H118" s="1" t="s">
        <v>3</v>
      </c>
    </row>
    <row r="119">
      <c r="A119" s="1" t="s">
        <v>355</v>
      </c>
      <c r="B119" s="1" t="s">
        <v>5014</v>
      </c>
      <c r="C119" s="1" t="s">
        <v>5955</v>
      </c>
      <c r="D119" s="2">
        <v>46174.0</v>
      </c>
      <c r="E119" s="2">
        <v>46082.0</v>
      </c>
      <c r="F119" s="2">
        <v>46054.0</v>
      </c>
      <c r="G119" s="2">
        <v>46023.0</v>
      </c>
      <c r="H119" s="1" t="s">
        <v>3</v>
      </c>
    </row>
    <row r="120">
      <c r="A120" s="1" t="s">
        <v>355</v>
      </c>
      <c r="B120" s="1" t="s">
        <v>5014</v>
      </c>
      <c r="C120" s="1" t="s">
        <v>5956</v>
      </c>
      <c r="D120" s="2">
        <v>46113.0</v>
      </c>
      <c r="E120" s="2">
        <v>46054.0</v>
      </c>
      <c r="F120" s="2">
        <v>46115.0</v>
      </c>
      <c r="G120" s="1">
        <v>0.0</v>
      </c>
      <c r="H120" s="1" t="s">
        <v>3</v>
      </c>
    </row>
    <row r="121">
      <c r="A121" s="1" t="s">
        <v>355</v>
      </c>
      <c r="B121" s="1" t="s">
        <v>5014</v>
      </c>
      <c r="C121" s="1" t="s">
        <v>5957</v>
      </c>
      <c r="D121" s="1" t="s">
        <v>5958</v>
      </c>
      <c r="E121" s="1" t="s">
        <v>5897</v>
      </c>
      <c r="F121" s="1" t="s">
        <v>5898</v>
      </c>
      <c r="G121" s="1" t="s">
        <v>22</v>
      </c>
      <c r="H121" s="1" t="s">
        <v>3</v>
      </c>
    </row>
    <row r="122">
      <c r="A122" s="1" t="s">
        <v>355</v>
      </c>
      <c r="B122" s="1" t="s">
        <v>5014</v>
      </c>
      <c r="C122" s="1" t="s">
        <v>5959</v>
      </c>
      <c r="D122" s="1" t="s">
        <v>5792</v>
      </c>
      <c r="E122" s="1" t="s">
        <v>5960</v>
      </c>
      <c r="F122" s="1" t="s">
        <v>5789</v>
      </c>
      <c r="G122" s="1" t="s">
        <v>5796</v>
      </c>
      <c r="H122" s="1" t="s">
        <v>3</v>
      </c>
    </row>
    <row r="123">
      <c r="A123" s="1" t="s">
        <v>355</v>
      </c>
      <c r="B123" s="1" t="s">
        <v>5014</v>
      </c>
      <c r="C123" s="1" t="s">
        <v>5961</v>
      </c>
      <c r="D123" s="1">
        <v>2.0</v>
      </c>
      <c r="E123" s="1">
        <v>3.0</v>
      </c>
      <c r="F123" s="1">
        <v>5.0</v>
      </c>
      <c r="G123" s="1">
        <v>6.0</v>
      </c>
      <c r="H123" s="1" t="s">
        <v>3</v>
      </c>
    </row>
    <row r="124">
      <c r="A124" s="1" t="s">
        <v>355</v>
      </c>
      <c r="B124" s="1" t="s">
        <v>5014</v>
      </c>
      <c r="C124" s="1" t="s">
        <v>5962</v>
      </c>
      <c r="D124" s="2">
        <v>46298.0</v>
      </c>
      <c r="E124" s="1" t="s">
        <v>5963</v>
      </c>
      <c r="F124" s="2">
        <v>46113.0</v>
      </c>
      <c r="G124" s="2">
        <v>46143.0</v>
      </c>
      <c r="H124" s="1" t="s">
        <v>3</v>
      </c>
    </row>
    <row r="125">
      <c r="A125" s="1" t="s">
        <v>355</v>
      </c>
      <c r="B125" s="1" t="s">
        <v>5014</v>
      </c>
      <c r="C125" s="1" t="s">
        <v>5964</v>
      </c>
      <c r="D125" s="1">
        <v>1.0</v>
      </c>
      <c r="E125" s="1">
        <v>0.0</v>
      </c>
      <c r="F125" s="1" t="s">
        <v>5965</v>
      </c>
      <c r="G125" s="1" t="s">
        <v>5966</v>
      </c>
      <c r="H125" s="1" t="s">
        <v>3</v>
      </c>
    </row>
    <row r="126">
      <c r="A126" s="1" t="s">
        <v>355</v>
      </c>
      <c r="B126" s="1" t="s">
        <v>5014</v>
      </c>
      <c r="C126" s="1" t="s">
        <v>5967</v>
      </c>
      <c r="D126" s="1">
        <v>26.0</v>
      </c>
      <c r="E126" s="1">
        <v>13.0</v>
      </c>
      <c r="F126" s="1">
        <v>52.0</v>
      </c>
      <c r="G126" s="1">
        <v>12.0</v>
      </c>
      <c r="H126" s="1" t="s">
        <v>3</v>
      </c>
    </row>
    <row r="127">
      <c r="A127" s="1" t="s">
        <v>355</v>
      </c>
      <c r="B127" s="1" t="s">
        <v>5014</v>
      </c>
      <c r="C127" s="1" t="s">
        <v>5968</v>
      </c>
      <c r="D127" s="2">
        <v>46174.0</v>
      </c>
      <c r="E127" s="1" t="s">
        <v>5785</v>
      </c>
      <c r="F127" s="2">
        <v>46357.0</v>
      </c>
      <c r="G127" s="2">
        <v>46113.0</v>
      </c>
      <c r="H127" s="1" t="s">
        <v>3</v>
      </c>
    </row>
    <row r="128">
      <c r="A128" s="1" t="s">
        <v>355</v>
      </c>
      <c r="B128" s="1" t="s">
        <v>5014</v>
      </c>
      <c r="C128" s="1" t="s">
        <v>5969</v>
      </c>
      <c r="D128" s="2">
        <v>46113.0</v>
      </c>
      <c r="E128" s="2">
        <v>46359.0</v>
      </c>
      <c r="F128" s="2">
        <v>46082.0</v>
      </c>
      <c r="G128" s="2">
        <v>46054.0</v>
      </c>
      <c r="H128" s="1" t="s">
        <v>3</v>
      </c>
    </row>
    <row r="129">
      <c r="A129" s="1" t="s">
        <v>355</v>
      </c>
      <c r="B129" s="1" t="s">
        <v>5014</v>
      </c>
      <c r="C129" s="1" t="s">
        <v>5970</v>
      </c>
      <c r="D129" s="2">
        <v>46113.0</v>
      </c>
      <c r="E129" s="1" t="s">
        <v>5971</v>
      </c>
      <c r="F129" s="1" t="s">
        <v>5789</v>
      </c>
      <c r="G129" s="2">
        <v>46054.0</v>
      </c>
      <c r="H129" s="1" t="s">
        <v>3</v>
      </c>
    </row>
    <row r="130">
      <c r="A130" s="1" t="s">
        <v>355</v>
      </c>
      <c r="B130" s="1" t="s">
        <v>5014</v>
      </c>
      <c r="C130" s="1" t="s">
        <v>5972</v>
      </c>
      <c r="D130" s="1">
        <v>1.0</v>
      </c>
      <c r="E130" s="2">
        <v>46115.0</v>
      </c>
      <c r="F130" s="2">
        <v>46054.0</v>
      </c>
      <c r="G130" s="2">
        <v>46113.0</v>
      </c>
      <c r="H130" s="1" t="s">
        <v>3</v>
      </c>
    </row>
    <row r="131">
      <c r="A131" s="1" t="s">
        <v>355</v>
      </c>
      <c r="B131" s="1" t="s">
        <v>5014</v>
      </c>
      <c r="C131" s="1" t="s">
        <v>5973</v>
      </c>
      <c r="D131" s="1" t="s">
        <v>5974</v>
      </c>
      <c r="E131" s="1" t="s">
        <v>5975</v>
      </c>
      <c r="F131" s="1" t="s">
        <v>3007</v>
      </c>
      <c r="G131" s="1" t="s">
        <v>5976</v>
      </c>
      <c r="H131" s="1" t="s">
        <v>3</v>
      </c>
    </row>
    <row r="132">
      <c r="A132" s="1" t="s">
        <v>355</v>
      </c>
      <c r="B132" s="1" t="s">
        <v>5014</v>
      </c>
      <c r="C132" s="1" t="s">
        <v>5977</v>
      </c>
      <c r="D132" s="2">
        <v>46296.0</v>
      </c>
      <c r="E132" s="1" t="s">
        <v>5978</v>
      </c>
      <c r="F132" s="2">
        <v>46143.0</v>
      </c>
      <c r="G132" s="1" t="s">
        <v>5891</v>
      </c>
      <c r="H132" s="1" t="s">
        <v>3</v>
      </c>
    </row>
    <row r="133">
      <c r="A133" s="1" t="s">
        <v>355</v>
      </c>
      <c r="B133" s="1" t="s">
        <v>5014</v>
      </c>
      <c r="C133" s="1" t="s">
        <v>5979</v>
      </c>
      <c r="D133" s="1">
        <v>0.0</v>
      </c>
      <c r="E133" s="2">
        <v>46174.0</v>
      </c>
      <c r="F133" s="1">
        <v>1.0</v>
      </c>
      <c r="G133" s="2">
        <v>46054.0</v>
      </c>
      <c r="H133" s="1" t="s">
        <v>3</v>
      </c>
    </row>
    <row r="134">
      <c r="A134" s="1" t="s">
        <v>355</v>
      </c>
      <c r="B134" s="1" t="s">
        <v>5014</v>
      </c>
      <c r="C134" s="1" t="s">
        <v>5980</v>
      </c>
      <c r="D134" s="2">
        <v>46174.0</v>
      </c>
      <c r="E134" s="1" t="s">
        <v>5981</v>
      </c>
      <c r="F134" s="2">
        <v>46357.0</v>
      </c>
      <c r="G134" s="2">
        <v>46266.0</v>
      </c>
      <c r="H134" s="1" t="s">
        <v>3</v>
      </c>
    </row>
    <row r="135">
      <c r="A135" s="1" t="s">
        <v>355</v>
      </c>
      <c r="B135" s="1" t="s">
        <v>5014</v>
      </c>
      <c r="C135" s="1" t="s">
        <v>5982</v>
      </c>
      <c r="D135" s="1">
        <v>0.23</v>
      </c>
      <c r="E135" s="1">
        <v>0.5</v>
      </c>
      <c r="F135" s="1">
        <v>0.1</v>
      </c>
      <c r="G135" s="1">
        <v>0.75</v>
      </c>
      <c r="H135" s="1" t="s">
        <v>3</v>
      </c>
    </row>
    <row r="136">
      <c r="A136" s="1" t="s">
        <v>355</v>
      </c>
      <c r="B136" s="1" t="s">
        <v>5014</v>
      </c>
      <c r="C136" s="1" t="s">
        <v>5983</v>
      </c>
      <c r="D136" s="2">
        <v>46145.0</v>
      </c>
      <c r="E136" s="2">
        <v>46144.0</v>
      </c>
      <c r="F136" s="2">
        <v>46143.0</v>
      </c>
      <c r="G136" s="2">
        <v>46146.0</v>
      </c>
      <c r="H136" s="1" t="s">
        <v>3</v>
      </c>
    </row>
    <row r="137">
      <c r="A137" s="1" t="s">
        <v>355</v>
      </c>
      <c r="B137" s="1" t="s">
        <v>5014</v>
      </c>
      <c r="C137" s="1" t="s">
        <v>5984</v>
      </c>
      <c r="D137" s="1" t="s">
        <v>5795</v>
      </c>
      <c r="E137" s="1" t="s">
        <v>5789</v>
      </c>
      <c r="F137" s="1" t="s">
        <v>5791</v>
      </c>
      <c r="G137" s="2">
        <v>46113.0</v>
      </c>
      <c r="H137" s="1" t="s">
        <v>3</v>
      </c>
    </row>
    <row r="138">
      <c r="A138" s="1" t="s">
        <v>355</v>
      </c>
      <c r="B138" s="1" t="s">
        <v>5014</v>
      </c>
      <c r="C138" s="1" t="s">
        <v>5985</v>
      </c>
      <c r="D138" s="2">
        <v>46237.0</v>
      </c>
      <c r="E138" s="2">
        <v>46235.0</v>
      </c>
      <c r="F138" s="2">
        <v>46054.0</v>
      </c>
      <c r="G138" s="2">
        <v>46239.0</v>
      </c>
      <c r="H138" s="1" t="s">
        <v>3</v>
      </c>
    </row>
    <row r="139">
      <c r="A139" s="1" t="s">
        <v>355</v>
      </c>
      <c r="B139" s="1" t="s">
        <v>5014</v>
      </c>
      <c r="C139" s="1" t="s">
        <v>5986</v>
      </c>
      <c r="D139" s="1" t="s">
        <v>5898</v>
      </c>
      <c r="E139" s="1" t="s">
        <v>5897</v>
      </c>
      <c r="F139" s="1" t="s">
        <v>3173</v>
      </c>
      <c r="G139" s="1" t="s">
        <v>5470</v>
      </c>
      <c r="H139" s="1" t="s">
        <v>3</v>
      </c>
    </row>
    <row r="140">
      <c r="A140" s="1" t="s">
        <v>355</v>
      </c>
      <c r="B140" s="1" t="s">
        <v>5014</v>
      </c>
      <c r="C140" s="1" t="s">
        <v>5987</v>
      </c>
      <c r="D140" s="2">
        <v>46082.0</v>
      </c>
      <c r="E140" s="1" t="s">
        <v>5988</v>
      </c>
      <c r="F140" s="2">
        <v>46143.0</v>
      </c>
      <c r="G140" s="1" t="s">
        <v>5807</v>
      </c>
      <c r="H140" s="1" t="s">
        <v>3</v>
      </c>
    </row>
    <row r="141">
      <c r="A141" s="1" t="s">
        <v>355</v>
      </c>
      <c r="B141" s="1" t="s">
        <v>5014</v>
      </c>
      <c r="C141" s="1" t="s">
        <v>5989</v>
      </c>
      <c r="D141" s="2">
        <v>46082.0</v>
      </c>
      <c r="E141" s="2">
        <v>46175.0</v>
      </c>
      <c r="F141" s="2">
        <v>46174.0</v>
      </c>
      <c r="G141" s="2">
        <v>46054.0</v>
      </c>
      <c r="H141" s="1" t="s">
        <v>3</v>
      </c>
    </row>
    <row r="142">
      <c r="A142" s="1" t="s">
        <v>355</v>
      </c>
      <c r="B142" s="1" t="s">
        <v>5014</v>
      </c>
      <c r="C142" s="1" t="s">
        <v>5990</v>
      </c>
      <c r="D142" s="1" t="s">
        <v>5856</v>
      </c>
      <c r="E142" s="1" t="s">
        <v>5991</v>
      </c>
      <c r="F142" s="2">
        <v>46357.0</v>
      </c>
      <c r="G142" s="2">
        <v>46266.0</v>
      </c>
      <c r="H142" s="1" t="s">
        <v>3</v>
      </c>
    </row>
    <row r="143">
      <c r="A143" s="1" t="s">
        <v>355</v>
      </c>
      <c r="B143" s="1" t="s">
        <v>5014</v>
      </c>
      <c r="C143" s="1" t="s">
        <v>5992</v>
      </c>
      <c r="D143" s="1" t="s">
        <v>5792</v>
      </c>
      <c r="E143" s="1" t="s">
        <v>5960</v>
      </c>
      <c r="F143" s="1" t="s">
        <v>5789</v>
      </c>
      <c r="G143" s="1" t="s">
        <v>5796</v>
      </c>
      <c r="H143" s="1" t="s">
        <v>3</v>
      </c>
    </row>
    <row r="144">
      <c r="A144" s="1" t="s">
        <v>355</v>
      </c>
      <c r="B144" s="1" t="s">
        <v>5014</v>
      </c>
      <c r="C144" s="1" t="s">
        <v>5993</v>
      </c>
      <c r="D144" s="13">
        <v>0.0</v>
      </c>
      <c r="E144" s="13">
        <v>1.0</v>
      </c>
      <c r="F144" s="13">
        <v>0.5</v>
      </c>
      <c r="G144" s="13">
        <v>0.1</v>
      </c>
      <c r="H144" s="1" t="s">
        <v>3</v>
      </c>
    </row>
    <row r="145">
      <c r="A145" s="1" t="s">
        <v>355</v>
      </c>
      <c r="B145" s="1" t="s">
        <v>5014</v>
      </c>
      <c r="C145" s="1" t="s">
        <v>5994</v>
      </c>
      <c r="D145" s="2">
        <v>46145.0</v>
      </c>
      <c r="E145" s="2">
        <v>46301.0</v>
      </c>
      <c r="F145" s="2">
        <v>46144.0</v>
      </c>
      <c r="G145" s="2">
        <v>46054.0</v>
      </c>
      <c r="H145" s="1" t="s">
        <v>3</v>
      </c>
    </row>
    <row r="146">
      <c r="A146" s="1" t="s">
        <v>355</v>
      </c>
      <c r="B146" s="1" t="s">
        <v>5014</v>
      </c>
      <c r="C146" s="1" t="s">
        <v>5995</v>
      </c>
      <c r="D146" s="1">
        <v>0.0</v>
      </c>
      <c r="E146" s="1">
        <v>1.0</v>
      </c>
      <c r="F146" s="2">
        <v>46054.0</v>
      </c>
      <c r="G146" s="2">
        <v>46113.0</v>
      </c>
      <c r="H146" s="1" t="s">
        <v>3</v>
      </c>
    </row>
    <row r="147">
      <c r="A147" s="1" t="s">
        <v>355</v>
      </c>
      <c r="B147" s="1" t="s">
        <v>5014</v>
      </c>
      <c r="C147" s="1" t="s">
        <v>5996</v>
      </c>
      <c r="D147" s="1">
        <v>2.0</v>
      </c>
      <c r="E147" s="1">
        <v>4.0</v>
      </c>
      <c r="F147" s="1">
        <v>1.0</v>
      </c>
      <c r="G147" s="1">
        <v>3.0</v>
      </c>
      <c r="H147" s="1" t="s">
        <v>3</v>
      </c>
    </row>
    <row r="148">
      <c r="A148" s="1" t="s">
        <v>355</v>
      </c>
      <c r="B148" s="1" t="s">
        <v>5014</v>
      </c>
      <c r="C148" s="1" t="s">
        <v>5997</v>
      </c>
      <c r="D148" s="2">
        <v>46145.0</v>
      </c>
      <c r="E148" s="1" t="s">
        <v>5998</v>
      </c>
      <c r="F148" s="2">
        <v>46144.0</v>
      </c>
      <c r="G148" s="2">
        <v>46054.0</v>
      </c>
      <c r="H148" s="1" t="s">
        <v>3</v>
      </c>
    </row>
    <row r="149">
      <c r="A149" s="1" t="s">
        <v>355</v>
      </c>
      <c r="B149" s="1" t="s">
        <v>5014</v>
      </c>
      <c r="C149" s="1" t="s">
        <v>5999</v>
      </c>
      <c r="D149" s="2">
        <v>46113.0</v>
      </c>
      <c r="E149" s="1" t="s">
        <v>6000</v>
      </c>
      <c r="F149" s="2">
        <v>46054.0</v>
      </c>
      <c r="G149" s="2">
        <v>46082.0</v>
      </c>
      <c r="H149" s="1" t="s">
        <v>3</v>
      </c>
    </row>
    <row r="150">
      <c r="A150" s="1" t="s">
        <v>355</v>
      </c>
      <c r="B150" s="1" t="s">
        <v>5014</v>
      </c>
      <c r="C150" s="1" t="s">
        <v>6001</v>
      </c>
      <c r="D150" s="1" t="s">
        <v>6002</v>
      </c>
      <c r="E150" s="2">
        <v>46296.0</v>
      </c>
      <c r="F150" s="2">
        <v>46327.0</v>
      </c>
      <c r="G150" s="2">
        <v>46266.0</v>
      </c>
      <c r="H150" s="1" t="s">
        <v>3</v>
      </c>
    </row>
    <row r="151">
      <c r="A151" s="1" t="s">
        <v>355</v>
      </c>
      <c r="B151" s="1" t="s">
        <v>5014</v>
      </c>
      <c r="C151" s="1" t="s">
        <v>6003</v>
      </c>
      <c r="D151" s="1" t="s">
        <v>5791</v>
      </c>
      <c r="E151" s="1" t="s">
        <v>5919</v>
      </c>
      <c r="F151" s="1" t="s">
        <v>5789</v>
      </c>
      <c r="G151" s="1" t="s">
        <v>5795</v>
      </c>
      <c r="H151" s="1" t="s">
        <v>3</v>
      </c>
    </row>
  </sheetData>
  <drawing r:id="rId1"/>
</worksheet>
</file>